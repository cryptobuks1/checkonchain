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code_development\checkonchain\checkonchain\goldoffchain\world_gold_council\"/>
    </mc:Choice>
  </mc:AlternateContent>
  <xr:revisionPtr revIDLastSave="0" documentId="13_ncr:1_{EA1AF6A6-E54A-4FA5-A0DD-30AA5E8B75D6}" xr6:coauthVersionLast="45" xr6:coauthVersionMax="45" xr10:uidLastSave="{00000000-0000-0000-0000-000000000000}"/>
  <bookViews>
    <workbookView xWindow="-108" yWindow="-108" windowWidth="23256" windowHeight="12576" activeTab="1" xr2:uid="{22A0D214-B6D2-4617-9393-39A8BE6E6362}"/>
  </bookViews>
  <sheets>
    <sheet name="Disclaimer" sheetId="2" r:id="rId1"/>
    <sheet name="Mine Production" sheetId="1" r:id="rId2"/>
    <sheet name="Gold vs BTC" sheetId="3"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Fill" hidden="1">#REF!</definedName>
    <definedName name="_xlnm._FilterDatabase" localSheetId="1" hidden="1">'Mine Production'!$A$81:$J$127</definedName>
    <definedName name="a">[1]Gold_Monthly!$K$2</definedName>
    <definedName name="Active_dt">#REF!</definedName>
    <definedName name="Active_qtr">#REF!</definedName>
    <definedName name="Active_yr">#REF!</definedName>
    <definedName name="ActiveQtrNo">#REF!</definedName>
    <definedName name="all">#REF!,#REF!,#REF!,#REF!</definedName>
    <definedName name="ANALYSIS_TYPE">#REF!</definedName>
    <definedName name="Annual">#REF!</definedName>
    <definedName name="Ashish">[2]Gold_Qrtly!$K$2</definedName>
    <definedName name="ASSETS">#REF!</definedName>
    <definedName name="AUDx">INDIRECT("Daily_Indexed!AB2880:AB"&amp;MaxRow,1)</definedName>
    <definedName name="bottom">#REF!,#REF!</definedName>
    <definedName name="CADx">INDIRECT("Daily_Indexed!I2880:I"&amp;MaxRow,1)</definedName>
    <definedName name="CBR_MTN">#REF!</definedName>
    <definedName name="CHF">INDIRECT("Daily!J2880:J"&amp;MaxRow,1)</definedName>
    <definedName name="CNY">INDIRECT("Daily!L2880:L"&amp;MaxRow,1)</definedName>
    <definedName name="CNYx">INDIRECT("Daily_Indexed!L2880:L"&amp;MaxRow,1)</definedName>
    <definedName name="COMPANY">#REF!</definedName>
    <definedName name="COMPANY_DOLLAR_PER_OUNCE">#REF!</definedName>
    <definedName name="CONSIDX">INDIRECT("Daily_Indexed!AE2880:AE"&amp;MaxRow,1)</definedName>
    <definedName name="COST_METRIC_TYPE">#REF!</definedName>
    <definedName name="Countries">#REF!</definedName>
    <definedName name="Country">#REF!</definedName>
    <definedName name="Current_Quarter">[3]GDT.Appendix!$A$3</definedName>
    <definedName name="DATES">INDIRECT("Daily!D2880:D"&amp;MaxRow,1)</definedName>
    <definedName name="DOLLAR_PER_OUNCE">#REF!</definedName>
    <definedName name="DOLLAR_PER_TONNE">#REF!</definedName>
    <definedName name="EURO">INDIRECT("Daily!F2880:F"&amp;MaxRow,1)</definedName>
    <definedName name="fxpivotq">[4]FX_Qrtly!$K$2</definedName>
    <definedName name="G5IDX">INDIRECT("Daily_Indexed!AC2880:AC"&amp;MaxRow,1)</definedName>
    <definedName name="GBP">INDIRECT("Daily!H2880:H"&amp;MaxRow,1)</definedName>
    <definedName name="GDT_YR">#REF!</definedName>
    <definedName name="Global">#REF!</definedName>
    <definedName name="Half_Year">#REF!</definedName>
    <definedName name="INR">INDIRECT("Daily!K2880:K"&amp;MaxRow,1)</definedName>
    <definedName name="INRx">INDIRECT("Daily_Indexed!K2880:K"&amp;MaxRow,1)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PY">INDIRECT("Daily!G2880:G"&amp;MaxRow,1)</definedName>
    <definedName name="Last_qtr">#REF!</definedName>
    <definedName name="Last_yr">Active_yr-1</definedName>
    <definedName name="LatestDate">'[5]Combined.Source'!$E$3</definedName>
    <definedName name="LatestGoldPrice">'[5]Combined.Source'!$E$31</definedName>
    <definedName name="left">#REF!</definedName>
    <definedName name="Manual_FX">'[6]Non-IFS 2'!#REF!</definedName>
    <definedName name="Manual_Gold">'[6]Non-IFS 2'!$B$3:$AT$8</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ozton">[7]AppQt.Data!$B$5</definedName>
    <definedName name="pivot">#REF!</definedName>
    <definedName name="pivot_q">[8]Gold_Monthly!$K$2</definedName>
    <definedName name="PRODIDX">INDIRECT("Daily_Indexed!AD2880:AD"&amp;MaxRow,1)</definedName>
    <definedName name="Quarter">#REF!</definedName>
    <definedName name="Region">#REF!</definedName>
    <definedName name="REGIONAL_FILTER">#REF!</definedName>
    <definedName name="right">#REF!</definedName>
    <definedName name="RUBx">INDIRECT("Daily_Indexed!W2880:W"&amp;MaxRow,1)</definedName>
    <definedName name="TimePeriod">#REF!</definedName>
    <definedName name="USD">INDIRECT("Daily!E2880:E"&amp;MaxRow,1)</definedName>
    <definedName name="USDx">INDIRECT("Daily_Indexed!e2880:e"&amp;MaxRow,1)</definedName>
    <definedName name="Yago_qtr">#REF!</definedName>
    <definedName name="year">#REF!</definedName>
    <definedName name="ZAR">INDIRECT("Daily!Y2880:Y"&amp;MaxRow,1)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99" i="1" l="1"/>
  <c r="C80" i="1" s="1"/>
  <c r="D99" i="1"/>
  <c r="D80" i="1" s="1"/>
  <c r="E99" i="1"/>
  <c r="E80" i="1" s="1"/>
  <c r="F99" i="1"/>
  <c r="F80" i="1" s="1"/>
  <c r="G99" i="1"/>
  <c r="G80" i="1" s="1"/>
  <c r="H99" i="1"/>
  <c r="I99" i="1"/>
  <c r="J99" i="1"/>
  <c r="J80" i="1"/>
  <c r="K99" i="1" s="1"/>
  <c r="B99" i="1"/>
  <c r="B80" i="1" s="1"/>
  <c r="H80" i="1"/>
  <c r="I80" i="1"/>
  <c r="B86" i="1"/>
  <c r="C86" i="1"/>
  <c r="D86" i="1"/>
  <c r="E86" i="1"/>
  <c r="F86" i="1"/>
  <c r="G86" i="1"/>
  <c r="H86" i="1"/>
  <c r="I86" i="1"/>
  <c r="J86" i="1"/>
  <c r="B91" i="1"/>
  <c r="C91" i="1"/>
  <c r="D91" i="1"/>
  <c r="E91" i="1"/>
  <c r="F91" i="1"/>
  <c r="G91" i="1"/>
  <c r="H91" i="1"/>
  <c r="I91" i="1"/>
  <c r="J91" i="1"/>
  <c r="B87" i="1"/>
  <c r="C87" i="1"/>
  <c r="D87" i="1"/>
  <c r="E87" i="1"/>
  <c r="F87" i="1"/>
  <c r="G87" i="1"/>
  <c r="H87" i="1"/>
  <c r="I87" i="1"/>
  <c r="J87" i="1"/>
  <c r="B92" i="1"/>
  <c r="C92" i="1"/>
  <c r="D92" i="1"/>
  <c r="E92" i="1"/>
  <c r="F92" i="1"/>
  <c r="G92" i="1"/>
  <c r="H92" i="1"/>
  <c r="I92" i="1"/>
  <c r="J92" i="1"/>
  <c r="B98" i="1"/>
  <c r="C98" i="1"/>
  <c r="D98" i="1"/>
  <c r="E98" i="1"/>
  <c r="F98" i="1"/>
  <c r="G98" i="1"/>
  <c r="H98" i="1"/>
  <c r="I98" i="1"/>
  <c r="J98" i="1"/>
  <c r="B89" i="1"/>
  <c r="C89" i="1"/>
  <c r="D89" i="1"/>
  <c r="E89" i="1"/>
  <c r="F89" i="1"/>
  <c r="G89" i="1"/>
  <c r="H89" i="1"/>
  <c r="I89" i="1"/>
  <c r="J89" i="1"/>
  <c r="B90" i="1"/>
  <c r="C90" i="1"/>
  <c r="D90" i="1"/>
  <c r="E90" i="1"/>
  <c r="F90" i="1"/>
  <c r="G90" i="1"/>
  <c r="H90" i="1"/>
  <c r="I90" i="1"/>
  <c r="J90" i="1"/>
  <c r="B94" i="1"/>
  <c r="C94" i="1"/>
  <c r="D94" i="1"/>
  <c r="E94" i="1"/>
  <c r="F94" i="1"/>
  <c r="G94" i="1"/>
  <c r="H94" i="1"/>
  <c r="I94" i="1"/>
  <c r="J94" i="1"/>
  <c r="B97" i="1"/>
  <c r="C97" i="1"/>
  <c r="D97" i="1"/>
  <c r="E97" i="1"/>
  <c r="F97" i="1"/>
  <c r="G97" i="1"/>
  <c r="H97" i="1"/>
  <c r="I97" i="1"/>
  <c r="J97" i="1"/>
  <c r="B84" i="1"/>
  <c r="C84" i="1"/>
  <c r="D84" i="1"/>
  <c r="E84" i="1"/>
  <c r="F84" i="1"/>
  <c r="G84" i="1"/>
  <c r="H84" i="1"/>
  <c r="I84" i="1"/>
  <c r="J84" i="1"/>
  <c r="B93" i="1"/>
  <c r="C93" i="1"/>
  <c r="D93" i="1"/>
  <c r="E93" i="1"/>
  <c r="F93" i="1"/>
  <c r="G93" i="1"/>
  <c r="H93" i="1"/>
  <c r="I93" i="1"/>
  <c r="J93" i="1"/>
  <c r="B96" i="1"/>
  <c r="C96" i="1"/>
  <c r="D96" i="1"/>
  <c r="E96" i="1"/>
  <c r="F96" i="1"/>
  <c r="G96" i="1"/>
  <c r="H96" i="1"/>
  <c r="I96" i="1"/>
  <c r="J96" i="1"/>
  <c r="B82" i="1"/>
  <c r="C82" i="1"/>
  <c r="D82" i="1"/>
  <c r="E82" i="1"/>
  <c r="F82" i="1"/>
  <c r="G82" i="1"/>
  <c r="H82" i="1"/>
  <c r="I82" i="1"/>
  <c r="J82" i="1"/>
  <c r="B88" i="1"/>
  <c r="C88" i="1"/>
  <c r="D88" i="1"/>
  <c r="E88" i="1"/>
  <c r="F88" i="1"/>
  <c r="G88" i="1"/>
  <c r="H88" i="1"/>
  <c r="I88" i="1"/>
  <c r="J88" i="1"/>
  <c r="B83" i="1"/>
  <c r="C83" i="1"/>
  <c r="D83" i="1"/>
  <c r="E83" i="1"/>
  <c r="F83" i="1"/>
  <c r="G83" i="1"/>
  <c r="H83" i="1"/>
  <c r="I83" i="1"/>
  <c r="J83" i="1"/>
  <c r="B95" i="1"/>
  <c r="C95" i="1"/>
  <c r="D95" i="1"/>
  <c r="E95" i="1"/>
  <c r="F95" i="1"/>
  <c r="G95" i="1"/>
  <c r="H95" i="1"/>
  <c r="I95" i="1"/>
  <c r="J95" i="1"/>
  <c r="C85" i="1"/>
  <c r="D85" i="1"/>
  <c r="E85" i="1"/>
  <c r="F85" i="1"/>
  <c r="G85" i="1"/>
  <c r="H85" i="1"/>
  <c r="I85" i="1"/>
  <c r="J85" i="1"/>
  <c r="B85" i="1"/>
  <c r="J9" i="1"/>
  <c r="I9" i="1"/>
  <c r="H9" i="1"/>
  <c r="G9" i="1"/>
  <c r="F9" i="1"/>
  <c r="E9" i="1"/>
  <c r="D9" i="1"/>
  <c r="C9" i="1"/>
  <c r="J75" i="1"/>
  <c r="I75" i="1"/>
  <c r="H75" i="1"/>
  <c r="G75" i="1"/>
  <c r="F75" i="1"/>
  <c r="E75" i="1"/>
  <c r="D75" i="1"/>
  <c r="C75" i="1"/>
  <c r="J77" i="1"/>
  <c r="I77" i="1"/>
  <c r="H77" i="1"/>
  <c r="G77" i="1"/>
  <c r="F77" i="1"/>
  <c r="E77" i="1"/>
  <c r="D77" i="1"/>
  <c r="C77" i="1"/>
  <c r="J68" i="1"/>
  <c r="I68" i="1"/>
  <c r="H68" i="1"/>
  <c r="G68" i="1"/>
  <c r="F68" i="1"/>
  <c r="E68" i="1"/>
  <c r="D68" i="1"/>
  <c r="C68" i="1"/>
  <c r="J58" i="1"/>
  <c r="I58" i="1"/>
  <c r="H58" i="1"/>
  <c r="G58" i="1"/>
  <c r="F58" i="1"/>
  <c r="E58" i="1"/>
  <c r="D58" i="1"/>
  <c r="C58" i="1"/>
  <c r="J50" i="1"/>
  <c r="I50" i="1"/>
  <c r="H50" i="1"/>
  <c r="G50" i="1"/>
  <c r="F50" i="1"/>
  <c r="E50" i="1"/>
  <c r="D50" i="1"/>
  <c r="C50" i="1"/>
  <c r="J31" i="1"/>
  <c r="I31" i="1"/>
  <c r="H31" i="1"/>
  <c r="G31" i="1"/>
  <c r="F31" i="1"/>
  <c r="E31" i="1"/>
  <c r="D31" i="1"/>
  <c r="C31" i="1"/>
  <c r="D24" i="1"/>
  <c r="E24" i="1"/>
  <c r="F24" i="1"/>
  <c r="G24" i="1"/>
  <c r="H24" i="1"/>
  <c r="I24" i="1"/>
  <c r="J24" i="1"/>
  <c r="C24" i="1"/>
  <c r="K82" i="1" l="1"/>
  <c r="K89" i="1" l="1"/>
  <c r="K98" i="1"/>
  <c r="K94" i="1"/>
  <c r="K88" i="1"/>
  <c r="K93" i="1"/>
  <c r="K97" i="1"/>
  <c r="K85" i="1"/>
  <c r="K90" i="1"/>
  <c r="K91" i="1"/>
  <c r="K95" i="1"/>
  <c r="K92" i="1"/>
  <c r="K96" i="1"/>
  <c r="K86" i="1"/>
  <c r="K83" i="1"/>
  <c r="K84" i="1"/>
  <c r="K87" i="1"/>
</calcChain>
</file>

<file path=xl/sharedStrings.xml><?xml version="1.0" encoding="utf-8"?>
<sst xmlns="http://schemas.openxmlformats.org/spreadsheetml/2006/main" count="117" uniqueCount="58">
  <si>
    <t>North America</t>
  </si>
  <si>
    <t>United States</t>
  </si>
  <si>
    <t>Canada</t>
  </si>
  <si>
    <t>Mexico</t>
  </si>
  <si>
    <t>Sub-total</t>
  </si>
  <si>
    <t>Central &amp; South America</t>
  </si>
  <si>
    <t>Peru</t>
  </si>
  <si>
    <t>Brazil</t>
  </si>
  <si>
    <t>Argentina</t>
  </si>
  <si>
    <t>Colombia</t>
  </si>
  <si>
    <t>Chile</t>
  </si>
  <si>
    <t>Suriname</t>
  </si>
  <si>
    <t>Dominican Republic</t>
  </si>
  <si>
    <t>Guyana</t>
  </si>
  <si>
    <t>Bolivia</t>
  </si>
  <si>
    <t>Venezuela</t>
  </si>
  <si>
    <t>Ecuador</t>
  </si>
  <si>
    <t>Others</t>
  </si>
  <si>
    <t>Europe</t>
  </si>
  <si>
    <t>Finland</t>
  </si>
  <si>
    <t>Sweden</t>
  </si>
  <si>
    <t>Bulgaria</t>
  </si>
  <si>
    <t>Africa</t>
  </si>
  <si>
    <t>Ghana</t>
  </si>
  <si>
    <t>South Africa</t>
  </si>
  <si>
    <t>Sudan</t>
  </si>
  <si>
    <t>Mali</t>
  </si>
  <si>
    <t>Burkina Faso</t>
  </si>
  <si>
    <t>Tanzania</t>
  </si>
  <si>
    <t>DR Congo</t>
  </si>
  <si>
    <t>Zimbabwe</t>
  </si>
  <si>
    <t>Ivory Coast</t>
  </si>
  <si>
    <t>Guinea</t>
  </si>
  <si>
    <t>Senegal</t>
  </si>
  <si>
    <t>Egypt</t>
  </si>
  <si>
    <t>Nigeria</t>
  </si>
  <si>
    <t>Gabon</t>
  </si>
  <si>
    <t>Ethiopia</t>
  </si>
  <si>
    <t>Commonwealth of Independent States</t>
  </si>
  <si>
    <t>Russian Federation</t>
  </si>
  <si>
    <t>Uzbekistan</t>
  </si>
  <si>
    <t>Kazakhstan</t>
  </si>
  <si>
    <t>Kyrgyzstan</t>
  </si>
  <si>
    <t>Asia</t>
  </si>
  <si>
    <t>China</t>
  </si>
  <si>
    <t>Indonesia</t>
  </si>
  <si>
    <t>Philippines</t>
  </si>
  <si>
    <t>Turkey</t>
  </si>
  <si>
    <t>Mongolia</t>
  </si>
  <si>
    <t>Iran</t>
  </si>
  <si>
    <t>Oceania</t>
  </si>
  <si>
    <t>Australia</t>
  </si>
  <si>
    <t>Papua New Guinea</t>
  </si>
  <si>
    <t>New Zealand</t>
  </si>
  <si>
    <t>Global Total</t>
  </si>
  <si>
    <t xml:space="preserve">DISCLAIMER 
© 2019 World Gold Council. All rights reserved.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Any copying, republication or redistribution of content, to reproduce, distribute or otherwise use the statistics and information in this document including by framing or similar means, is expressly prohibited without the prior written consent of the World Gold Council or the appropriate copyright owners except as provided below.
The use of the analytics in this document is permitted for the purposes of review and commentary (including media commentary) in line with fair industry practice, subject to the following two pre-conditions: (i) only limited extracts of data or analysis be used; and (ii) any and all use of these statistics is accompanied by a clear acknowledgement of the World Gold Council and, where appropriate, of the relevant third parties, as their source. It is not permitted to reproduce, distribute or otherwise use the whole or a substantial part of this document or the statistics contained within it.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t>
  </si>
  <si>
    <t>Global Mine Production (tonnes)</t>
  </si>
  <si>
    <t>Source: Metals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</si>
</sst>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0"/>
      <color theme="1"/>
      <name val="Arial"/>
      <family val="2"/>
    </font>
    <font>
      <b/>
      <sz val="10"/>
      <color theme="0"/>
      <name val="Arial"/>
      <family val="2"/>
    </font>
    <font>
      <b/>
      <sz val="10"/>
      <color theme="1"/>
      <name val="Arial"/>
      <family val="2"/>
    </font>
    <font>
      <sz val="11"/>
      <color theme="1"/>
      <name val="Calibri"/>
      <family val="2"/>
      <scheme val="minor"/>
    </font>
    <font>
      <sz val="10"/>
      <name val="Arial"/>
      <family val="2"/>
    </font>
    <font>
      <sz val="8"/>
      <name val="Arial"/>
      <family val="2"/>
    </font>
    <font>
      <b/>
      <sz val="10"/>
      <name val="Arial"/>
      <family val="2"/>
    </font>
  </fonts>
  <fills count="3">
    <fill>
      <patternFill patternType="none"/>
    </fill>
    <fill>
      <patternFill patternType="gray125"/>
    </fill>
    <fill>
      <patternFill patternType="solid">
        <fgColor rgb="FF6F8F83"/>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s>
  <cellStyleXfs count="3">
    <xf numFmtId="0" fontId="0" fillId="0" borderId="0"/>
    <xf numFmtId="9" fontId="4" fillId="0" borderId="0" applyFont="0" applyFill="0" applyBorder="0" applyAlignment="0" applyProtection="0"/>
    <xf numFmtId="0" fontId="1" fillId="0" borderId="0"/>
  </cellStyleXfs>
  <cellXfs count="19">
    <xf numFmtId="0" fontId="0" fillId="0" borderId="0" xfId="0"/>
    <xf numFmtId="0" fontId="1" fillId="0" borderId="0" xfId="2"/>
    <xf numFmtId="0" fontId="3" fillId="0" borderId="0" xfId="0" applyFont="1" applyFill="1" applyBorder="1"/>
    <xf numFmtId="0" fontId="1" fillId="0" borderId="0" xfId="0" applyFont="1" applyFill="1" applyBorder="1"/>
    <xf numFmtId="0" fontId="2" fillId="2" borderId="0" xfId="0" applyFont="1" applyFill="1" applyBorder="1" applyAlignment="1">
      <alignment horizontal="right" wrapText="1"/>
    </xf>
    <xf numFmtId="0" fontId="3" fillId="0" borderId="1" xfId="0" applyFont="1" applyFill="1" applyBorder="1"/>
    <xf numFmtId="164" fontId="5" fillId="0" borderId="0" xfId="0" applyNumberFormat="1" applyFont="1" applyFill="1" applyBorder="1"/>
    <xf numFmtId="0" fontId="5" fillId="0" borderId="0" xfId="0" applyFont="1" applyFill="1" applyBorder="1"/>
    <xf numFmtId="0" fontId="3" fillId="0" borderId="2" xfId="0" applyFont="1" applyFill="1" applyBorder="1"/>
    <xf numFmtId="0" fontId="6" fillId="0" borderId="0" xfId="2" applyFont="1"/>
    <xf numFmtId="164" fontId="7" fillId="0" borderId="1" xfId="0" applyNumberFormat="1" applyFont="1" applyFill="1" applyBorder="1"/>
    <xf numFmtId="9" fontId="5" fillId="0" borderId="0" xfId="1" applyFont="1" applyFill="1" applyBorder="1"/>
    <xf numFmtId="164" fontId="7" fillId="0" borderId="2" xfId="0" applyNumberFormat="1" applyFont="1" applyFill="1" applyBorder="1"/>
    <xf numFmtId="0" fontId="1" fillId="0" borderId="0" xfId="2" applyAlignment="1">
      <alignment horizontal="left" vertical="top" wrapText="1"/>
    </xf>
    <xf numFmtId="0" fontId="1" fillId="0" borderId="0" xfId="2" applyAlignment="1">
      <alignment horizontal="left" vertical="top"/>
    </xf>
    <xf numFmtId="1" fontId="1" fillId="0" borderId="0" xfId="0" applyNumberFormat="1" applyFont="1" applyFill="1" applyBorder="1"/>
    <xf numFmtId="1" fontId="3" fillId="0" borderId="0" xfId="0" applyNumberFormat="1" applyFont="1" applyFill="1" applyBorder="1"/>
    <xf numFmtId="0" fontId="3" fillId="0" borderId="3" xfId="0" applyFont="1" applyFill="1" applyBorder="1"/>
    <xf numFmtId="1" fontId="3" fillId="0" borderId="3" xfId="0" applyNumberFormat="1" applyFont="1" applyFill="1" applyBorder="1"/>
  </cellXfs>
  <cellStyles count="3">
    <cellStyle name="Normal" xfId="0" builtinId="0"/>
    <cellStyle name="Normal 2" xfId="2" xr:uid="{413F574F-61BC-4B50-88A2-2EB751F0C424}"/>
    <cellStyle name="Percent" xfId="1" builtinId="5"/>
  </cellStyles>
  <dxfs count="2">
    <dxf>
      <font>
        <color auto="1"/>
      </font>
      <fill>
        <patternFill>
          <bgColor theme="0" tint="-4.9989318521683403E-2"/>
        </patternFill>
      </fill>
    </dxf>
    <dxf>
      <font>
        <color auto="1"/>
      </font>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World Gold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'Mine Production'!$A$4</c:f>
              <c:strCache>
                <c:ptCount val="1"/>
                <c:pt idx="0">
                  <c:v>North America</c:v>
                </c:pt>
              </c:strCache>
            </c:strRef>
          </c:tx>
          <c:spPr>
            <a:solidFill>
              <a:schemeClr val="accent1"/>
            </a:solidFill>
            <a:ln>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Production'!$B$8:$J$8</c:f>
              <c:numCache>
                <c:formatCode>#,##0.0</c:formatCode>
                <c:ptCount val="9"/>
                <c:pt idx="0">
                  <c:v>412.16367005172629</c:v>
                </c:pt>
                <c:pt idx="1">
                  <c:v>430.33367172112264</c:v>
                </c:pt>
                <c:pt idx="2">
                  <c:v>448.46527224967855</c:v>
                </c:pt>
                <c:pt idx="3">
                  <c:v>467.37165870160788</c:v>
                </c:pt>
                <c:pt idx="4">
                  <c:v>474.59489468649474</c:v>
                </c:pt>
                <c:pt idx="5">
                  <c:v>506.01978855947903</c:v>
                </c:pt>
                <c:pt idx="6">
                  <c:v>520.08453238890024</c:v>
                </c:pt>
                <c:pt idx="7">
                  <c:v>527.1645960954902</c:v>
                </c:pt>
                <c:pt idx="8">
                  <c:v>526.12241323424496</c:v>
                </c:pt>
              </c:numCache>
            </c:numRef>
          </c:val>
          <c:extLst>
            <c:ext xmlns:c16="http://schemas.microsoft.com/office/drawing/2014/chart" uri="{C3380CC4-5D6E-409C-BE32-E72D297353CC}">
              <c16:uniqueId val="{00000000-31BB-49A5-95D5-398028E63BD8}"/>
            </c:ext>
          </c:extLst>
        </c:ser>
        <c:ser>
          <c:idx val="1"/>
          <c:order val="1"/>
          <c:tx>
            <c:strRef>
              <c:f>'Mine Production'!$A$10</c:f>
              <c:strCache>
                <c:ptCount val="1"/>
                <c:pt idx="0">
                  <c:v>Central &amp; South America</c:v>
                </c:pt>
              </c:strCache>
            </c:strRef>
          </c:tx>
          <c:spPr>
            <a:solidFill>
              <a:schemeClr val="accent2"/>
            </a:solidFill>
            <a:ln>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Production'!$B$23:$J$23</c:f>
              <c:numCache>
                <c:formatCode>#,##0.0</c:formatCode>
                <c:ptCount val="9"/>
                <c:pt idx="0">
                  <c:v>502.32910068317602</c:v>
                </c:pt>
                <c:pt idx="1">
                  <c:v>517.52949222059124</c:v>
                </c:pt>
                <c:pt idx="2">
                  <c:v>532.97836023090804</c:v>
                </c:pt>
                <c:pt idx="3">
                  <c:v>548.7455641045907</c:v>
                </c:pt>
                <c:pt idx="4">
                  <c:v>554.08706728477694</c:v>
                </c:pt>
                <c:pt idx="5">
                  <c:v>555.59812525972018</c:v>
                </c:pt>
                <c:pt idx="6">
                  <c:v>564.09024385733642</c:v>
                </c:pt>
                <c:pt idx="7">
                  <c:v>566.01550576045076</c:v>
                </c:pt>
                <c:pt idx="8">
                  <c:v>557.98210237649539</c:v>
                </c:pt>
              </c:numCache>
            </c:numRef>
          </c:val>
          <c:extLst>
            <c:ext xmlns:c16="http://schemas.microsoft.com/office/drawing/2014/chart" uri="{C3380CC4-5D6E-409C-BE32-E72D297353CC}">
              <c16:uniqueId val="{00000001-31BB-49A5-95D5-398028E63BD8}"/>
            </c:ext>
          </c:extLst>
        </c:ser>
        <c:ser>
          <c:idx val="2"/>
          <c:order val="2"/>
          <c:tx>
            <c:strRef>
              <c:f>'Mine Production'!$A$25</c:f>
              <c:strCache>
                <c:ptCount val="1"/>
                <c:pt idx="0">
                  <c:v>Europe</c:v>
                </c:pt>
              </c:strCache>
            </c:strRef>
          </c:tx>
          <c:spPr>
            <a:solidFill>
              <a:schemeClr val="accent3"/>
            </a:solidFill>
            <a:ln>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Production'!$B$30:$J$30</c:f>
              <c:numCache>
                <c:formatCode>#,##0.0</c:formatCode>
                <c:ptCount val="9"/>
                <c:pt idx="0">
                  <c:v>16.659962894729912</c:v>
                </c:pt>
                <c:pt idx="1">
                  <c:v>18.025827519189612</c:v>
                </c:pt>
                <c:pt idx="2">
                  <c:v>22.884021053559458</c:v>
                </c:pt>
                <c:pt idx="3">
                  <c:v>23.876441425519445</c:v>
                </c:pt>
                <c:pt idx="4">
                  <c:v>23.528394468781713</c:v>
                </c:pt>
                <c:pt idx="5">
                  <c:v>23.510491401107572</c:v>
                </c:pt>
                <c:pt idx="6">
                  <c:v>23.601128857021219</c:v>
                </c:pt>
                <c:pt idx="7">
                  <c:v>26.928610605740964</c:v>
                </c:pt>
                <c:pt idx="8">
                  <c:v>27.927553340245233</c:v>
                </c:pt>
              </c:numCache>
            </c:numRef>
          </c:val>
          <c:extLst>
            <c:ext xmlns:c16="http://schemas.microsoft.com/office/drawing/2014/chart" uri="{C3380CC4-5D6E-409C-BE32-E72D297353CC}">
              <c16:uniqueId val="{00000002-31BB-49A5-95D5-398028E63BD8}"/>
            </c:ext>
          </c:extLst>
        </c:ser>
        <c:ser>
          <c:idx val="3"/>
          <c:order val="3"/>
          <c:tx>
            <c:strRef>
              <c:f>'Mine Production'!$A$32</c:f>
              <c:strCache>
                <c:ptCount val="1"/>
                <c:pt idx="0">
                  <c:v>Africa</c:v>
                </c:pt>
              </c:strCache>
            </c:strRef>
          </c:tx>
          <c:spPr>
            <a:solidFill>
              <a:schemeClr val="accent4"/>
            </a:solidFill>
            <a:ln>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Production'!$B$49:$J$49</c:f>
              <c:numCache>
                <c:formatCode>#,##0.0</c:formatCode>
                <c:ptCount val="9"/>
                <c:pt idx="0">
                  <c:v>581.94492037232033</c:v>
                </c:pt>
                <c:pt idx="1">
                  <c:v>625.2092588501273</c:v>
                </c:pt>
                <c:pt idx="2">
                  <c:v>628.95229023345769</c:v>
                </c:pt>
                <c:pt idx="3">
                  <c:v>655.83181992824552</c:v>
                </c:pt>
                <c:pt idx="4">
                  <c:v>682.41174215257513</c:v>
                </c:pt>
                <c:pt idx="5">
                  <c:v>698.45278966037631</c:v>
                </c:pt>
                <c:pt idx="6">
                  <c:v>779.8539514580774</c:v>
                </c:pt>
                <c:pt idx="7">
                  <c:v>812.59057287253324</c:v>
                </c:pt>
                <c:pt idx="8">
                  <c:v>821.03540265989022</c:v>
                </c:pt>
              </c:numCache>
            </c:numRef>
          </c:val>
          <c:extLst>
            <c:ext xmlns:c16="http://schemas.microsoft.com/office/drawing/2014/chart" uri="{C3380CC4-5D6E-409C-BE32-E72D297353CC}">
              <c16:uniqueId val="{00000003-31BB-49A5-95D5-398028E63BD8}"/>
            </c:ext>
          </c:extLst>
        </c:ser>
        <c:ser>
          <c:idx val="4"/>
          <c:order val="4"/>
          <c:tx>
            <c:strRef>
              <c:f>'Mine Production'!$A$51</c:f>
              <c:strCache>
                <c:ptCount val="1"/>
                <c:pt idx="0">
                  <c:v>Commonwealth of Independent States</c:v>
                </c:pt>
              </c:strCache>
            </c:strRef>
          </c:tx>
          <c:spPr>
            <a:solidFill>
              <a:schemeClr val="accent5"/>
            </a:solidFill>
            <a:ln>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Production'!$B$57:$J$57</c:f>
              <c:numCache>
                <c:formatCode>#,##0.0</c:formatCode>
                <c:ptCount val="9"/>
                <c:pt idx="0">
                  <c:v>332.8953497699124</c:v>
                </c:pt>
                <c:pt idx="1">
                  <c:v>347.78075733242548</c:v>
                </c:pt>
                <c:pt idx="2">
                  <c:v>372.96487071431261</c:v>
                </c:pt>
                <c:pt idx="3">
                  <c:v>400.79342316853354</c:v>
                </c:pt>
                <c:pt idx="4">
                  <c:v>410.68509758590187</c:v>
                </c:pt>
                <c:pt idx="5">
                  <c:v>421.82588440539405</c:v>
                </c:pt>
                <c:pt idx="6">
                  <c:v>434.07568044140095</c:v>
                </c:pt>
                <c:pt idx="7">
                  <c:v>466.44365465078272</c:v>
                </c:pt>
                <c:pt idx="8">
                  <c:v>498.53988497523198</c:v>
                </c:pt>
              </c:numCache>
            </c:numRef>
          </c:val>
          <c:extLst>
            <c:ext xmlns:c16="http://schemas.microsoft.com/office/drawing/2014/chart" uri="{C3380CC4-5D6E-409C-BE32-E72D297353CC}">
              <c16:uniqueId val="{00000004-31BB-49A5-95D5-398028E63BD8}"/>
            </c:ext>
          </c:extLst>
        </c:ser>
        <c:ser>
          <c:idx val="5"/>
          <c:order val="5"/>
          <c:tx>
            <c:strRef>
              <c:f>'Mine Production'!$A$59</c:f>
              <c:strCache>
                <c:ptCount val="1"/>
                <c:pt idx="0">
                  <c:v>Asia</c:v>
                </c:pt>
              </c:strCache>
            </c:strRef>
          </c:tx>
          <c:spPr>
            <a:solidFill>
              <a:schemeClr val="accent6"/>
            </a:solidFill>
            <a:ln>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Production'!$B$67:$J$67</c:f>
              <c:numCache>
                <c:formatCode>#,##0.0</c:formatCode>
                <c:ptCount val="9"/>
                <c:pt idx="0">
                  <c:v>607.22168111335679</c:v>
                </c:pt>
                <c:pt idx="1">
                  <c:v>604.75697298673344</c:v>
                </c:pt>
                <c:pt idx="2">
                  <c:v>630.16904600877626</c:v>
                </c:pt>
                <c:pt idx="3">
                  <c:v>674.92291920446883</c:v>
                </c:pt>
                <c:pt idx="4">
                  <c:v>712.37822552387411</c:v>
                </c:pt>
                <c:pt idx="5">
                  <c:v>730.77248317053522</c:v>
                </c:pt>
                <c:pt idx="6">
                  <c:v>713.31937218756775</c:v>
                </c:pt>
                <c:pt idx="7">
                  <c:v>675.27000061268245</c:v>
                </c:pt>
                <c:pt idx="8">
                  <c:v>676.14484720153473</c:v>
                </c:pt>
              </c:numCache>
            </c:numRef>
          </c:val>
          <c:extLst>
            <c:ext xmlns:c16="http://schemas.microsoft.com/office/drawing/2014/chart" uri="{C3380CC4-5D6E-409C-BE32-E72D297353CC}">
              <c16:uniqueId val="{00000005-31BB-49A5-95D5-398028E63BD8}"/>
            </c:ext>
          </c:extLst>
        </c:ser>
        <c:ser>
          <c:idx val="6"/>
          <c:order val="6"/>
          <c:tx>
            <c:strRef>
              <c:f>'Mine Production'!$A$69</c:f>
              <c:strCache>
                <c:ptCount val="1"/>
                <c:pt idx="0">
                  <c:v>Oceania</c:v>
                </c:pt>
              </c:strCache>
            </c:strRef>
          </c:tx>
          <c:spPr>
            <a:solidFill>
              <a:schemeClr val="accent1">
                <a:lumMod val="60000"/>
              </a:schemeClr>
            </a:solidFill>
            <a:ln>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Production'!$B$74:$J$74</c:f>
              <c:numCache>
                <c:formatCode>#,##0.0</c:formatCode>
                <c:ptCount val="9"/>
                <c:pt idx="0">
                  <c:v>340.42699414047252</c:v>
                </c:pt>
                <c:pt idx="1">
                  <c:v>337.20177577451261</c:v>
                </c:pt>
                <c:pt idx="2">
                  <c:v>322.66708826905983</c:v>
                </c:pt>
                <c:pt idx="3">
                  <c:v>346.59822850996892</c:v>
                </c:pt>
                <c:pt idx="4">
                  <c:v>345.17916880120907</c:v>
                </c:pt>
                <c:pt idx="5">
                  <c:v>353.33344453182684</c:v>
                </c:pt>
                <c:pt idx="6">
                  <c:v>362.22689702811067</c:v>
                </c:pt>
                <c:pt idx="7">
                  <c:v>367.4562126064427</c:v>
                </c:pt>
                <c:pt idx="8">
                  <c:v>394.83816720725173</c:v>
                </c:pt>
              </c:numCache>
            </c:numRef>
          </c:val>
          <c:extLst>
            <c:ext xmlns:c16="http://schemas.microsoft.com/office/drawing/2014/chart" uri="{C3380CC4-5D6E-409C-BE32-E72D297353CC}">
              <c16:uniqueId val="{00000006-31BB-49A5-95D5-398028E63BD8}"/>
            </c:ext>
          </c:extLst>
        </c:ser>
        <c:dLbls>
          <c:showLegendKey val="0"/>
          <c:showVal val="0"/>
          <c:showCatName val="0"/>
          <c:showSerName val="0"/>
          <c:showPercent val="0"/>
          <c:showBubbleSize val="0"/>
        </c:dLbls>
        <c:axId val="782243152"/>
        <c:axId val="782243472"/>
      </c:areaChart>
      <c:catAx>
        <c:axId val="78224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43472"/>
        <c:crosses val="autoZero"/>
        <c:auto val="1"/>
        <c:lblAlgn val="ctr"/>
        <c:lblOffset val="100"/>
        <c:noMultiLvlLbl val="0"/>
      </c:catAx>
      <c:valAx>
        <c:axId val="78224347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43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World Gold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'Mine Production'!$A$4</c:f>
              <c:strCache>
                <c:ptCount val="1"/>
                <c:pt idx="0">
                  <c:v>North America</c:v>
                </c:pt>
              </c:strCache>
            </c:strRef>
          </c:tx>
          <c:spPr>
            <a:solidFill>
              <a:schemeClr val="accent1"/>
            </a:solidFill>
            <a:ln w="25400">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Production'!$B$9:$J$9</c:f>
              <c:numCache>
                <c:formatCode>0%</c:formatCode>
                <c:ptCount val="9"/>
                <c:pt idx="0">
                  <c:v>0</c:v>
                </c:pt>
                <c:pt idx="1">
                  <c:v>4.4084432931985607E-2</c:v>
                </c:pt>
                <c:pt idx="2">
                  <c:v>4.2133817825684927E-2</c:v>
                </c:pt>
                <c:pt idx="3">
                  <c:v>4.2157972137033983E-2</c:v>
                </c:pt>
                <c:pt idx="4">
                  <c:v>1.5455014976632375E-2</c:v>
                </c:pt>
                <c:pt idx="5">
                  <c:v>6.6214142260722753E-2</c:v>
                </c:pt>
                <c:pt idx="6">
                  <c:v>2.7794849425672119E-2</c:v>
                </c:pt>
                <c:pt idx="7">
                  <c:v>1.3613294119840802E-2</c:v>
                </c:pt>
                <c:pt idx="8">
                  <c:v>-1.9769591299648726E-3</c:v>
                </c:pt>
              </c:numCache>
            </c:numRef>
          </c:val>
          <c:extLst>
            <c:ext xmlns:c16="http://schemas.microsoft.com/office/drawing/2014/chart" uri="{C3380CC4-5D6E-409C-BE32-E72D297353CC}">
              <c16:uniqueId val="{00000000-9FB8-4FAC-BA4D-1782C75F3A10}"/>
            </c:ext>
          </c:extLst>
        </c:ser>
        <c:ser>
          <c:idx val="1"/>
          <c:order val="1"/>
          <c:tx>
            <c:strRef>
              <c:f>'Mine Production'!$A$10</c:f>
              <c:strCache>
                <c:ptCount val="1"/>
                <c:pt idx="0">
                  <c:v>Central &amp; South America</c:v>
                </c:pt>
              </c:strCache>
            </c:strRef>
          </c:tx>
          <c:spPr>
            <a:solidFill>
              <a:schemeClr val="accent2"/>
            </a:solidFill>
            <a:ln w="25400">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Production'!$B$24:$J$24</c:f>
              <c:numCache>
                <c:formatCode>0%</c:formatCode>
                <c:ptCount val="9"/>
                <c:pt idx="0">
                  <c:v>0</c:v>
                </c:pt>
                <c:pt idx="1">
                  <c:v>3.0259826708710413E-2</c:v>
                </c:pt>
                <c:pt idx="2">
                  <c:v>2.9851183831146599E-2</c:v>
                </c:pt>
                <c:pt idx="3">
                  <c:v>2.9583197086747948E-2</c:v>
                </c:pt>
                <c:pt idx="4">
                  <c:v>9.7340252561350926E-3</c:v>
                </c:pt>
                <c:pt idx="5">
                  <c:v>2.7271128747832218E-3</c:v>
                </c:pt>
                <c:pt idx="6">
                  <c:v>1.5284642282848759E-2</c:v>
                </c:pt>
                <c:pt idx="7">
                  <c:v>3.4130388250452892E-3</c:v>
                </c:pt>
                <c:pt idx="8">
                  <c:v>-1.419290337843726E-2</c:v>
                </c:pt>
              </c:numCache>
            </c:numRef>
          </c:val>
          <c:extLst>
            <c:ext xmlns:c16="http://schemas.microsoft.com/office/drawing/2014/chart" uri="{C3380CC4-5D6E-409C-BE32-E72D297353CC}">
              <c16:uniqueId val="{00000001-9FB8-4FAC-BA4D-1782C75F3A10}"/>
            </c:ext>
          </c:extLst>
        </c:ser>
        <c:ser>
          <c:idx val="2"/>
          <c:order val="2"/>
          <c:tx>
            <c:strRef>
              <c:f>'Mine Production'!$A$25</c:f>
              <c:strCache>
                <c:ptCount val="1"/>
                <c:pt idx="0">
                  <c:v>Europe</c:v>
                </c:pt>
              </c:strCache>
            </c:strRef>
          </c:tx>
          <c:spPr>
            <a:solidFill>
              <a:schemeClr val="accent3"/>
            </a:solidFill>
            <a:ln w="25400">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Production'!$B$31:$J$31</c:f>
              <c:numCache>
                <c:formatCode>0%</c:formatCode>
                <c:ptCount val="9"/>
                <c:pt idx="0">
                  <c:v>0</c:v>
                </c:pt>
                <c:pt idx="1">
                  <c:v>8.1984853933364299E-2</c:v>
                </c:pt>
                <c:pt idx="2">
                  <c:v>0.26951292689325901</c:v>
                </c:pt>
                <c:pt idx="3">
                  <c:v>4.3367394639135082E-2</c:v>
                </c:pt>
                <c:pt idx="4">
                  <c:v>-1.4577002935024286E-2</c:v>
                </c:pt>
                <c:pt idx="5">
                  <c:v>-7.6091327429483879E-4</c:v>
                </c:pt>
                <c:pt idx="6">
                  <c:v>3.8551918957072662E-3</c:v>
                </c:pt>
                <c:pt idx="7">
                  <c:v>0.14098824547241251</c:v>
                </c:pt>
                <c:pt idx="8">
                  <c:v>3.7095962696690465E-2</c:v>
                </c:pt>
              </c:numCache>
            </c:numRef>
          </c:val>
          <c:extLst>
            <c:ext xmlns:c16="http://schemas.microsoft.com/office/drawing/2014/chart" uri="{C3380CC4-5D6E-409C-BE32-E72D297353CC}">
              <c16:uniqueId val="{00000002-9FB8-4FAC-BA4D-1782C75F3A10}"/>
            </c:ext>
          </c:extLst>
        </c:ser>
        <c:ser>
          <c:idx val="3"/>
          <c:order val="3"/>
          <c:tx>
            <c:strRef>
              <c:f>'Mine Production'!$A$32</c:f>
              <c:strCache>
                <c:ptCount val="1"/>
                <c:pt idx="0">
                  <c:v>Africa</c:v>
                </c:pt>
              </c:strCache>
            </c:strRef>
          </c:tx>
          <c:spPr>
            <a:solidFill>
              <a:schemeClr val="accent4"/>
            </a:solidFill>
            <a:ln w="25400">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Production'!$B$50:$J$50</c:f>
              <c:numCache>
                <c:formatCode>0%</c:formatCode>
                <c:ptCount val="9"/>
                <c:pt idx="0">
                  <c:v>0</c:v>
                </c:pt>
                <c:pt idx="1">
                  <c:v>7.4344387180365956E-2</c:v>
                </c:pt>
                <c:pt idx="2">
                  <c:v>5.9868457326024416E-3</c:v>
                </c:pt>
                <c:pt idx="3">
                  <c:v>4.2736993110893184E-2</c:v>
                </c:pt>
                <c:pt idx="4">
                  <c:v>4.0528564514051402E-2</c:v>
                </c:pt>
                <c:pt idx="5">
                  <c:v>2.3506406055092022E-2</c:v>
                </c:pt>
                <c:pt idx="6">
                  <c:v>0.11654497340798442</c:v>
                </c:pt>
                <c:pt idx="7">
                  <c:v>4.1977887466299046E-2</c:v>
                </c:pt>
                <c:pt idx="8">
                  <c:v>1.0392478167084995E-2</c:v>
                </c:pt>
              </c:numCache>
            </c:numRef>
          </c:val>
          <c:extLst>
            <c:ext xmlns:c16="http://schemas.microsoft.com/office/drawing/2014/chart" uri="{C3380CC4-5D6E-409C-BE32-E72D297353CC}">
              <c16:uniqueId val="{00000003-9FB8-4FAC-BA4D-1782C75F3A10}"/>
            </c:ext>
          </c:extLst>
        </c:ser>
        <c:ser>
          <c:idx val="4"/>
          <c:order val="4"/>
          <c:tx>
            <c:strRef>
              <c:f>'Mine Production'!$A$51</c:f>
              <c:strCache>
                <c:ptCount val="1"/>
                <c:pt idx="0">
                  <c:v>Commonwealth of Independent States</c:v>
                </c:pt>
              </c:strCache>
            </c:strRef>
          </c:tx>
          <c:spPr>
            <a:solidFill>
              <a:schemeClr val="accent5"/>
            </a:solidFill>
            <a:ln w="25400">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Production'!$B$58:$J$58</c:f>
              <c:numCache>
                <c:formatCode>0%</c:formatCode>
                <c:ptCount val="9"/>
                <c:pt idx="0">
                  <c:v>0</c:v>
                </c:pt>
                <c:pt idx="1">
                  <c:v>4.4714975961068326E-2</c:v>
                </c:pt>
                <c:pt idx="2">
                  <c:v>7.2413763127828767E-2</c:v>
                </c:pt>
                <c:pt idx="3">
                  <c:v>7.4614406447778725E-2</c:v>
                </c:pt>
                <c:pt idx="4">
                  <c:v>2.4680231374976547E-2</c:v>
                </c:pt>
                <c:pt idx="5">
                  <c:v>2.7127321845813679E-2</c:v>
                </c:pt>
                <c:pt idx="6">
                  <c:v>2.9039934458441774E-2</c:v>
                </c:pt>
                <c:pt idx="7">
                  <c:v>7.4567582723057857E-2</c:v>
                </c:pt>
                <c:pt idx="8">
                  <c:v>6.881051977967001E-2</c:v>
                </c:pt>
              </c:numCache>
            </c:numRef>
          </c:val>
          <c:extLst>
            <c:ext xmlns:c16="http://schemas.microsoft.com/office/drawing/2014/chart" uri="{C3380CC4-5D6E-409C-BE32-E72D297353CC}">
              <c16:uniqueId val="{00000004-9FB8-4FAC-BA4D-1782C75F3A10}"/>
            </c:ext>
          </c:extLst>
        </c:ser>
        <c:ser>
          <c:idx val="5"/>
          <c:order val="5"/>
          <c:tx>
            <c:strRef>
              <c:f>'Mine Production'!$A$59</c:f>
              <c:strCache>
                <c:ptCount val="1"/>
                <c:pt idx="0">
                  <c:v>Asia</c:v>
                </c:pt>
              </c:strCache>
            </c:strRef>
          </c:tx>
          <c:spPr>
            <a:solidFill>
              <a:schemeClr val="accent6"/>
            </a:solidFill>
            <a:ln w="25400">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Production'!$B$68:$J$68</c:f>
              <c:numCache>
                <c:formatCode>0%</c:formatCode>
                <c:ptCount val="9"/>
                <c:pt idx="0">
                  <c:v>0</c:v>
                </c:pt>
                <c:pt idx="1">
                  <c:v>-4.0589922976799198E-3</c:v>
                </c:pt>
                <c:pt idx="2">
                  <c:v>4.2020305936348867E-2</c:v>
                </c:pt>
                <c:pt idx="3">
                  <c:v>7.1018837689893921E-2</c:v>
                </c:pt>
                <c:pt idx="4">
                  <c:v>5.5495679956392374E-2</c:v>
                </c:pt>
                <c:pt idx="5">
                  <c:v>2.5820915052722437E-2</c:v>
                </c:pt>
                <c:pt idx="6">
                  <c:v>-2.3883098207591602E-2</c:v>
                </c:pt>
                <c:pt idx="7">
                  <c:v>-5.3341284505140529E-2</c:v>
                </c:pt>
                <c:pt idx="8">
                  <c:v>1.2955507990264348E-3</c:v>
                </c:pt>
              </c:numCache>
            </c:numRef>
          </c:val>
          <c:extLst>
            <c:ext xmlns:c16="http://schemas.microsoft.com/office/drawing/2014/chart" uri="{C3380CC4-5D6E-409C-BE32-E72D297353CC}">
              <c16:uniqueId val="{00000005-9FB8-4FAC-BA4D-1782C75F3A10}"/>
            </c:ext>
          </c:extLst>
        </c:ser>
        <c:ser>
          <c:idx val="6"/>
          <c:order val="6"/>
          <c:tx>
            <c:strRef>
              <c:f>'Mine Production'!$A$69</c:f>
              <c:strCache>
                <c:ptCount val="1"/>
                <c:pt idx="0">
                  <c:v>Oceania</c:v>
                </c:pt>
              </c:strCache>
            </c:strRef>
          </c:tx>
          <c:spPr>
            <a:solidFill>
              <a:schemeClr val="accent1">
                <a:lumMod val="60000"/>
              </a:schemeClr>
            </a:solidFill>
            <a:ln w="25400">
              <a:noFill/>
            </a:ln>
            <a:effectLst/>
          </c:spPr>
          <c:cat>
            <c:numRef>
              <c:f>'Mine Production'!$B$3:$J$3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'Mine Production'!$B$75:$J$75</c:f>
              <c:numCache>
                <c:formatCode>0%</c:formatCode>
                <c:ptCount val="9"/>
                <c:pt idx="0">
                  <c:v>0</c:v>
                </c:pt>
                <c:pt idx="1">
                  <c:v>-9.4740382562877867E-3</c:v>
                </c:pt>
                <c:pt idx="2">
                  <c:v>-4.3103828477973782E-2</c:v>
                </c:pt>
                <c:pt idx="3">
                  <c:v>7.4166660037400023E-2</c:v>
                </c:pt>
                <c:pt idx="4">
                  <c:v>-4.0942497451887938E-3</c:v>
                </c:pt>
                <c:pt idx="5">
                  <c:v>2.3623313535799939E-2</c:v>
                </c:pt>
                <c:pt idx="6">
                  <c:v>2.5170140653024919E-2</c:v>
                </c:pt>
                <c:pt idx="7">
                  <c:v>1.4436574482005415E-2</c:v>
                </c:pt>
                <c:pt idx="8">
                  <c:v>7.4517598727160461E-2</c:v>
                </c:pt>
              </c:numCache>
            </c:numRef>
          </c:val>
          <c:extLst>
            <c:ext xmlns:c16="http://schemas.microsoft.com/office/drawing/2014/chart" uri="{C3380CC4-5D6E-409C-BE32-E72D297353CC}">
              <c16:uniqueId val="{00000006-9FB8-4FAC-BA4D-1782C75F3A10}"/>
            </c:ext>
          </c:extLst>
        </c:ser>
        <c:dLbls>
          <c:showLegendKey val="0"/>
          <c:showVal val="0"/>
          <c:showCatName val="0"/>
          <c:showSerName val="0"/>
          <c:showPercent val="0"/>
          <c:showBubbleSize val="0"/>
        </c:dLbls>
        <c:axId val="782243152"/>
        <c:axId val="782243472"/>
      </c:areaChart>
      <c:catAx>
        <c:axId val="78224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43472"/>
        <c:crosses val="autoZero"/>
        <c:auto val="1"/>
        <c:lblAlgn val="ctr"/>
        <c:lblOffset val="100"/>
        <c:noMultiLvlLbl val="0"/>
      </c:catAx>
      <c:valAx>
        <c:axId val="782243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YOY</a:t>
                </a:r>
                <a:r>
                  <a:rPr lang="en-AU" baseline="0"/>
                  <a:t> Change in Production</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43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AU" sz="2000" b="1"/>
              <a:t>World Gold Production (tonnes) 2018</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150-4E49-9C53-DA505277B4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9150-4E49-9C53-DA505277B4E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9150-4E49-9C53-DA505277B4E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4-9150-4E49-9C53-DA505277B4E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9150-4E49-9C53-DA505277B4E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6-9150-4E49-9C53-DA505277B4E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150-4E49-9C53-DA505277B4E4}"/>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8-9150-4E49-9C53-DA505277B4E4}"/>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9150-4E49-9C53-DA505277B4E4}"/>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A-9150-4E49-9C53-DA505277B4E4}"/>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9150-4E49-9C53-DA505277B4E4}"/>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C-9150-4E49-9C53-DA505277B4E4}"/>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E-9150-4E49-9C53-DA505277B4E4}"/>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150-4E49-9C53-DA505277B4E4}"/>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150-4E49-9C53-DA505277B4E4}"/>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0-9150-4E49-9C53-DA505277B4E4}"/>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150-4E49-9C53-DA505277B4E4}"/>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2-9150-4E49-9C53-DA505277B4E4}"/>
              </c:ext>
            </c:extLst>
          </c:dPt>
          <c:dLbls>
            <c:dLbl>
              <c:idx val="0"/>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50-4E49-9C53-DA505277B4E4}"/>
                </c:ext>
              </c:extLst>
            </c:dLbl>
            <c:dLbl>
              <c:idx val="1"/>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50-4E49-9C53-DA505277B4E4}"/>
                </c:ext>
              </c:extLst>
            </c:dLbl>
            <c:dLbl>
              <c:idx val="2"/>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50-4E49-9C53-DA505277B4E4}"/>
                </c:ext>
              </c:extLst>
            </c:dLbl>
            <c:dLbl>
              <c:idx val="3"/>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50-4E49-9C53-DA505277B4E4}"/>
                </c:ext>
              </c:extLst>
            </c:dLbl>
            <c:dLbl>
              <c:idx val="4"/>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50-4E49-9C53-DA505277B4E4}"/>
                </c:ext>
              </c:extLst>
            </c:dLbl>
            <c:dLbl>
              <c:idx val="5"/>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150-4E49-9C53-DA505277B4E4}"/>
                </c:ext>
              </c:extLst>
            </c:dLbl>
            <c:dLbl>
              <c:idx val="6"/>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150-4E49-9C53-DA505277B4E4}"/>
                </c:ext>
              </c:extLst>
            </c:dLbl>
            <c:dLbl>
              <c:idx val="7"/>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150-4E49-9C53-DA505277B4E4}"/>
                </c:ext>
              </c:extLst>
            </c:dLbl>
            <c:dLbl>
              <c:idx val="8"/>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150-4E49-9C53-DA505277B4E4}"/>
                </c:ext>
              </c:extLst>
            </c:dLbl>
            <c:dLbl>
              <c:idx val="9"/>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150-4E49-9C53-DA505277B4E4}"/>
                </c:ext>
              </c:extLst>
            </c:dLbl>
            <c:dLbl>
              <c:idx val="10"/>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150-4E49-9C53-DA505277B4E4}"/>
                </c:ext>
              </c:extLst>
            </c:dLbl>
            <c:dLbl>
              <c:idx val="11"/>
              <c:layout>
                <c:manualLayout>
                  <c:x val="1.5337873518171488E-2"/>
                  <c:y val="2.29135120330706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150-4E49-9C53-DA505277B4E4}"/>
                </c:ext>
              </c:extLst>
            </c:dLbl>
            <c:dLbl>
              <c:idx val="12"/>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150-4E49-9C53-DA505277B4E4}"/>
                </c:ext>
              </c:extLst>
            </c:dLbl>
            <c:dLbl>
              <c:idx val="13"/>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150-4E49-9C53-DA505277B4E4}"/>
                </c:ext>
              </c:extLst>
            </c:dLbl>
            <c:dLbl>
              <c:idx val="14"/>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150-4E49-9C53-DA505277B4E4}"/>
                </c:ext>
              </c:extLst>
            </c:dLbl>
            <c:dLbl>
              <c:idx val="15"/>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150-4E49-9C53-DA505277B4E4}"/>
                </c:ext>
              </c:extLst>
            </c:dLbl>
            <c:dLbl>
              <c:idx val="16"/>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150-4E49-9C53-DA505277B4E4}"/>
                </c:ext>
              </c:extLst>
            </c:dLbl>
            <c:dLbl>
              <c:idx val="17"/>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2-9150-4E49-9C53-DA505277B4E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'Mine Production'!$A$82:$A$99</c:f>
              <c:strCache>
                <c:ptCount val="18"/>
                <c:pt idx="0">
                  <c:v>China</c:v>
                </c:pt>
                <c:pt idx="1">
                  <c:v>Australia</c:v>
                </c:pt>
                <c:pt idx="2">
                  <c:v>Russian Federation</c:v>
                </c:pt>
                <c:pt idx="3">
                  <c:v>United States</c:v>
                </c:pt>
                <c:pt idx="4">
                  <c:v>Canada</c:v>
                </c:pt>
                <c:pt idx="5">
                  <c:v>Peru</c:v>
                </c:pt>
                <c:pt idx="6">
                  <c:v>Indonesia</c:v>
                </c:pt>
                <c:pt idx="7">
                  <c:v>Ghana</c:v>
                </c:pt>
                <c:pt idx="8">
                  <c:v>South Africa</c:v>
                </c:pt>
                <c:pt idx="9">
                  <c:v>Mexico</c:v>
                </c:pt>
                <c:pt idx="10">
                  <c:v>Brazil</c:v>
                </c:pt>
                <c:pt idx="11">
                  <c:v>Uzbekistan</c:v>
                </c:pt>
                <c:pt idx="12">
                  <c:v>Sudan</c:v>
                </c:pt>
                <c:pt idx="13">
                  <c:v>Papua New Guinea</c:v>
                </c:pt>
                <c:pt idx="14">
                  <c:v>Kazakhstan</c:v>
                </c:pt>
                <c:pt idx="15">
                  <c:v>Mali</c:v>
                </c:pt>
                <c:pt idx="16">
                  <c:v>Argentina</c:v>
                </c:pt>
                <c:pt idx="17">
                  <c:v>Others</c:v>
                </c:pt>
              </c:strCache>
            </c:strRef>
          </c:cat>
          <c:val>
            <c:numRef>
              <c:f>'Mine Production'!$J$82:$J$99</c:f>
              <c:numCache>
                <c:formatCode>0</c:formatCode>
                <c:ptCount val="18"/>
                <c:pt idx="0">
                  <c:v>404.11940399999997</c:v>
                </c:pt>
                <c:pt idx="1">
                  <c:v>314.89812664303099</c:v>
                </c:pt>
                <c:pt idx="2">
                  <c:v>297.30599999999998</c:v>
                </c:pt>
                <c:pt idx="3">
                  <c:v>221.70426378766851</c:v>
                </c:pt>
                <c:pt idx="4">
                  <c:v>189.00661728466591</c:v>
                </c:pt>
                <c:pt idx="5">
                  <c:v>158.4302587853951</c:v>
                </c:pt>
                <c:pt idx="6">
                  <c:v>136.8863901117588</c:v>
                </c:pt>
                <c:pt idx="7">
                  <c:v>130.52975089322186</c:v>
                </c:pt>
                <c:pt idx="8">
                  <c:v>129.77797093824796</c:v>
                </c:pt>
                <c:pt idx="9">
                  <c:v>115.41153216191056</c:v>
                </c:pt>
                <c:pt idx="10">
                  <c:v>97.105241493393592</c:v>
                </c:pt>
                <c:pt idx="11">
                  <c:v>92.470470048487513</c:v>
                </c:pt>
                <c:pt idx="12">
                  <c:v>76.59428263178458</c:v>
                </c:pt>
                <c:pt idx="13">
                  <c:v>69.12747963523212</c:v>
                </c:pt>
                <c:pt idx="14">
                  <c:v>68.429000000000002</c:v>
                </c:pt>
                <c:pt idx="15">
                  <c:v>61.182275982576705</c:v>
                </c:pt>
                <c:pt idx="16">
                  <c:v>59.956981621608982</c:v>
                </c:pt>
                <c:pt idx="17">
                  <c:v>879.65432497591109</c:v>
                </c:pt>
              </c:numCache>
            </c:numRef>
          </c:val>
          <c:extLst>
            <c:ext xmlns:c16="http://schemas.microsoft.com/office/drawing/2014/chart" uri="{C3380CC4-5D6E-409C-BE32-E72D297353CC}">
              <c16:uniqueId val="{00000000-9150-4E49-9C53-DA505277B4E4}"/>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AU" sz="2000" b="1"/>
              <a:t>World USD Production (reams of paper)</a:t>
            </a: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1"/>
          <c:order val="0"/>
          <c:tx>
            <c:strRef>
              <c:f>'Mine Production'!$U$78</c:f>
              <c:strCache>
                <c:ptCount val="1"/>
                <c:pt idx="0">
                  <c:v>United States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6-4281-44AE-B8D3-C215E36DF9A2}"/>
              </c:ext>
            </c:extLst>
          </c:dPt>
          <c:dLbls>
            <c:dLbl>
              <c:idx val="0"/>
              <c:layout>
                <c:manualLayout>
                  <c:x val="4.1375595513142242E-3"/>
                  <c:y val="-0.4295026838661911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6-4281-44AE-B8D3-C215E36DF9A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'Mine Production'!$U$78</c:f>
              <c:strCache>
                <c:ptCount val="1"/>
                <c:pt idx="0">
                  <c:v>United States</c:v>
                </c:pt>
              </c:strCache>
            </c:strRef>
          </c:cat>
          <c:val>
            <c:numRef>
              <c:f>'Mine Production'!$V$78</c:f>
              <c:numCache>
                <c:formatCode>General</c:formatCode>
                <c:ptCount val="1"/>
                <c:pt idx="0">
                  <c:v>1</c:v>
                </c:pt>
              </c:numCache>
            </c:numRef>
          </c:val>
          <c:extLst>
            <c:ext xmlns:c16="http://schemas.microsoft.com/office/drawing/2014/chart" uri="{C3380CC4-5D6E-409C-BE32-E72D297353CC}">
              <c16:uniqueId val="{00000025-4281-44AE-B8D3-C215E36DF9A2}"/>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333745</xdr:colOff>
      <xdr:row>3</xdr:row>
      <xdr:rowOff>85725</xdr:rowOff>
    </xdr:to>
    <xdr:pic>
      <xdr:nvPicPr>
        <xdr:cNvPr id="2" name="Picture 2" descr="http://lri.co.uk/portals/1/Images/Client%20Logos/World%20Gold%20Council.png">
          <a:extLst>
            <a:ext uri="{FF2B5EF4-FFF2-40B4-BE49-F238E27FC236}">
              <a16:creationId xmlns:a16="http://schemas.microsoft.com/office/drawing/2014/main" id="{34F9C216-BC34-4AE1-9759-454BCDDDAB4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52945" cy="5715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373380</xdr:colOff>
      <xdr:row>8</xdr:row>
      <xdr:rowOff>80010</xdr:rowOff>
    </xdr:from>
    <xdr:to>
      <xdr:col>26</xdr:col>
      <xdr:colOff>601980</xdr:colOff>
      <xdr:row>31</xdr:row>
      <xdr:rowOff>38100</xdr:rowOff>
    </xdr:to>
    <xdr:graphicFrame macro="">
      <xdr:nvGraphicFramePr>
        <xdr:cNvPr id="2" name="Chart 1">
          <a:extLst>
            <a:ext uri="{FF2B5EF4-FFF2-40B4-BE49-F238E27FC236}">
              <a16:creationId xmlns:a16="http://schemas.microsoft.com/office/drawing/2014/main" id="{1C9C6C16-17D8-4E5D-98A7-9683EEEB0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373857</xdr:colOff>
      <xdr:row>31</xdr:row>
      <xdr:rowOff>117158</xdr:rowOff>
    </xdr:from>
    <xdr:to>
      <xdr:col>26</xdr:col>
      <xdr:colOff>602457</xdr:colOff>
      <xdr:row>54</xdr:row>
      <xdr:rowOff>75248</xdr:rowOff>
    </xdr:to>
    <xdr:graphicFrame macro="">
      <xdr:nvGraphicFramePr>
        <xdr:cNvPr id="3" name="Chart 2">
          <a:extLst>
            <a:ext uri="{FF2B5EF4-FFF2-40B4-BE49-F238E27FC236}">
              <a16:creationId xmlns:a16="http://schemas.microsoft.com/office/drawing/2014/main" id="{76BA59CD-8D4E-4228-9795-A0D4FF87C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182560</xdr:colOff>
      <xdr:row>83</xdr:row>
      <xdr:rowOff>140889</xdr:rowOff>
    </xdr:from>
    <xdr:to>
      <xdr:col>21</xdr:col>
      <xdr:colOff>60323</xdr:colOff>
      <xdr:row>124</xdr:row>
      <xdr:rowOff>101601</xdr:rowOff>
    </xdr:to>
    <xdr:graphicFrame macro="">
      <xdr:nvGraphicFramePr>
        <xdr:cNvPr id="6" name="Chart 5">
          <a:extLst>
            <a:ext uri="{FF2B5EF4-FFF2-40B4-BE49-F238E27FC236}">
              <a16:creationId xmlns:a16="http://schemas.microsoft.com/office/drawing/2014/main" id="{F6526EB2-BE97-4D79-B7D1-F42ABF141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38100</xdr:colOff>
      <xdr:row>83</xdr:row>
      <xdr:rowOff>139700</xdr:rowOff>
    </xdr:from>
    <xdr:to>
      <xdr:col>39</xdr:col>
      <xdr:colOff>538163</xdr:colOff>
      <xdr:row>124</xdr:row>
      <xdr:rowOff>100412</xdr:rowOff>
    </xdr:to>
    <xdr:graphicFrame macro="">
      <xdr:nvGraphicFramePr>
        <xdr:cNvPr id="7" name="Chart 6">
          <a:extLst>
            <a:ext uri="{FF2B5EF4-FFF2-40B4-BE49-F238E27FC236}">
              <a16:creationId xmlns:a16="http://schemas.microsoft.com/office/drawing/2014/main" id="{ADA67952-08A8-4884-A561-1114CF318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304800</xdr:colOff>
      <xdr:row>38</xdr:row>
      <xdr:rowOff>175260</xdr:rowOff>
    </xdr:to>
    <xdr:pic>
      <xdr:nvPicPr>
        <xdr:cNvPr id="2" name="Picture 1">
          <a:extLst>
            <a:ext uri="{FF2B5EF4-FFF2-40B4-BE49-F238E27FC236}">
              <a16:creationId xmlns:a16="http://schemas.microsoft.com/office/drawing/2014/main" id="{54F3F137-5348-4CFA-9BAD-750E657C99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400800" cy="712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3.%20Data\IFS%20Database\Reserve%20Asset%20Management%20Stats\2.%20Import%20Files\IFS%20Import%20Template_Monthl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3.%20Data\IFS%20Database\Final\2.%20Import%20Files\IFS%20Import%20Template_Monthly.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arket%20Intelligence%20and%20Statistics\Supply%20and%20demand\SND%20DATABOOK%20V1.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3.%20Data\IFS%20Database\Final\Import%20Files\IFS%20Import%20Template_Quarterly.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ONSRVFAP01\Pool\Market%20Intelligence%20and%20Statistics\ETFs\All%20data-ETFs%2020150109.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2012\4.%20Research\6.%20Why%20the%20US%20shouldn't%20sell%20its%20gold\Gold%20Sales%20Comparison_IFS%20Import%20Template_Quarterly.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krishang\AppData\Local\Packages\Microsoft.MicrosoftEdge_8wekyb3d8bbwe\TempState\Downloads\GDT_Q118_Tables_EN.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Market%20Intelligence%20and%20Statistics\Central%20banks\Reserve%20Asset%20Management%20Stats\2.%20Import%20Files\IFS%20Import%20Template_Monthl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row r="2">
          <cell r="K2" t="str">
            <v>MIDHEADER</v>
          </cell>
        </row>
      </sheetData>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sorted data"/>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K2" t="str">
            <v>MIDHEADER</v>
          </cell>
        </row>
      </sheetData>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InputData&gt;&gt;&gt;"/>
      <sheetName val="jwl.ann"/>
      <sheetName val="jwl.qtr"/>
      <sheetName val="jwl.usd"/>
      <sheetName val="inv.ann"/>
      <sheetName val="inv.qtr"/>
      <sheetName val="sumry.GFMS"/>
      <sheetName val="end.user.A"/>
      <sheetName val="end.user.Q"/>
      <sheetName val="sumry.WGC.new"/>
      <sheetName val="Summaries&gt;&gt;&gt;"/>
      <sheetName val="supply.demand.vol"/>
      <sheetName val="demand.vol"/>
      <sheetName val="demand.val"/>
      <sheetName val="Investment.vol"/>
      <sheetName val="Investment.val"/>
      <sheetName val="bycountry.jewellery.vol"/>
      <sheetName val="bycountry.jewellery.val"/>
      <sheetName val="bycountry.jewellery.loc"/>
      <sheetName val="loc.ccy"/>
      <sheetName val="bycountry.NRI.vol"/>
      <sheetName val="bycountry.NRI.val"/>
      <sheetName val="bycountry.NRI.loc"/>
      <sheetName val="Output&gt;&gt;&gt;"/>
      <sheetName val="Table 1 and Table 2"/>
      <sheetName val="Table 3 and Table 4"/>
      <sheetName val="Table 5"/>
      <sheetName val="Table 6"/>
      <sheetName val="Table 7"/>
      <sheetName val="Table 8"/>
      <sheetName val="Table 9"/>
      <sheetName val="Tab 10 Historical data"/>
      <sheetName val="HistData&gt;&gt;&gt;"/>
      <sheetName val="Country.INVJWL.ANN"/>
      <sheetName val="Country.INVJWL.QTR"/>
      <sheetName val="Country.JWL.PRE"/>
      <sheetName val="YR"/>
      <sheetName val="QT"/>
      <sheetName val="Rawpivot"/>
      <sheetName val="Charts&gt;&gt;&gt;"/>
      <sheetName val="GDT.Appendix"/>
      <sheetName val="bycountry.demand.v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3">
          <cell r="A3" t="str">
            <v>Q3</v>
          </cell>
        </row>
      </sheetData>
      <sheetData sheetId="42">
        <row r="3">
          <cell r="A3" t="str">
            <v>Q3</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sheetData sheetId="7">
        <row r="2">
          <cell r="K2" t="str">
            <v>MIDHEADER</v>
          </cell>
        </row>
      </sheetData>
      <sheetData sheetId="8"/>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Chart.Source"/>
      <sheetName val="Charts"/>
      <sheetName val="Table"/>
      <sheetName val="Summary"/>
      <sheetName val="Combined.Data"/>
      <sheetName val="Combined.Source"/>
      <sheetName val="Com.Table2"/>
      <sheetName val="Com.Table"/>
    </sheetNames>
    <sheetDataSet>
      <sheetData sheetId="0"/>
      <sheetData sheetId="1"/>
      <sheetData sheetId="2"/>
      <sheetData sheetId="3"/>
      <sheetData sheetId="4"/>
      <sheetData sheetId="5"/>
      <sheetData sheetId="6">
        <row r="3">
          <cell r="E3">
            <v>42004</v>
          </cell>
        </row>
        <row r="31">
          <cell r="E31">
            <v>1206</v>
          </cell>
        </row>
      </sheetData>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8"/>
      <sheetName val="Total central government de (2)"/>
      <sheetName val="Total Reserves Indexed"/>
      <sheetName val="G4 Gold"/>
      <sheetName val="G4 FX Reserves"/>
      <sheetName val="PIIGS Tonnes"/>
      <sheetName val="PIIGS (Gold US$)"/>
      <sheetName val="PIIGS (Total US$)"/>
      <sheetName val="Chart1 (2)"/>
      <sheetName val="1. Gold (Tonnes)"/>
      <sheetName val="Gold Indexed"/>
      <sheetName val="2. Gold (US$ Millions)"/>
      <sheetName val="3. FX Reserves (US$ Millions)"/>
      <sheetName val="Chart1"/>
      <sheetName val="4.Total Reserves (US$ Millions)"/>
      <sheetName val="5. Gold (% Total Reserves)"/>
      <sheetName val="1. Instructions"/>
      <sheetName val="Gold_Qrtly"/>
      <sheetName val="FX_Qrtly"/>
      <sheetName val="Non-IFS 2"/>
      <sheetName val="Country Key"/>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 sheetId="13" refreshError="1"/>
      <sheetData sheetId="14"/>
      <sheetData sheetId="15"/>
      <sheetData sheetId="16"/>
      <sheetData sheetId="17">
        <row r="2">
          <cell r="K2" t="str">
            <v>MIDHEADER</v>
          </cell>
        </row>
      </sheetData>
      <sheetData sheetId="18">
        <row r="2">
          <cell r="K2" t="str">
            <v>MIDHEADER</v>
          </cell>
        </row>
      </sheetData>
      <sheetData sheetId="19">
        <row r="3">
          <cell r="B3">
            <v>0</v>
          </cell>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cell r="AA3">
            <v>25</v>
          </cell>
          <cell r="AB3">
            <v>26</v>
          </cell>
          <cell r="AC3">
            <v>27</v>
          </cell>
          <cell r="AD3">
            <v>28</v>
          </cell>
          <cell r="AE3">
            <v>29</v>
          </cell>
          <cell r="AF3">
            <v>30</v>
          </cell>
          <cell r="AG3">
            <v>31</v>
          </cell>
          <cell r="AH3">
            <v>32</v>
          </cell>
          <cell r="AI3">
            <v>33</v>
          </cell>
          <cell r="AJ3">
            <v>34</v>
          </cell>
          <cell r="AK3">
            <v>35</v>
          </cell>
          <cell r="AL3">
            <v>36</v>
          </cell>
          <cell r="AM3">
            <v>37</v>
          </cell>
          <cell r="AN3">
            <v>38</v>
          </cell>
          <cell r="AO3">
            <v>39</v>
          </cell>
          <cell r="AP3">
            <v>40</v>
          </cell>
          <cell r="AQ3">
            <v>41</v>
          </cell>
          <cell r="AR3">
            <v>42</v>
          </cell>
          <cell r="AS3">
            <v>43</v>
          </cell>
          <cell r="AT3">
            <v>44</v>
          </cell>
        </row>
        <row r="4">
          <cell r="C4" t="str">
            <v>Q1 2000</v>
          </cell>
          <cell r="D4" t="str">
            <v>Q2 2000</v>
          </cell>
          <cell r="E4" t="str">
            <v>Q3 2000</v>
          </cell>
          <cell r="F4" t="str">
            <v>Q4 2000</v>
          </cell>
          <cell r="G4" t="str">
            <v>Q1 2001</v>
          </cell>
          <cell r="H4" t="str">
            <v>Q2 2001</v>
          </cell>
          <cell r="I4" t="str">
            <v>Q3 2001</v>
          </cell>
          <cell r="J4" t="str">
            <v>Q4 2001</v>
          </cell>
          <cell r="K4" t="str">
            <v>Q1 2002</v>
          </cell>
          <cell r="L4" t="str">
            <v>Q2 2002</v>
          </cell>
          <cell r="M4" t="str">
            <v>Q3 2002</v>
          </cell>
          <cell r="N4" t="str">
            <v>Q4 2002</v>
          </cell>
          <cell r="O4" t="str">
            <v>Q1 2003</v>
          </cell>
          <cell r="P4" t="str">
            <v>Q2 2003</v>
          </cell>
          <cell r="Q4" t="str">
            <v>Q3 2003</v>
          </cell>
          <cell r="R4" t="str">
            <v>Q4 2003</v>
          </cell>
          <cell r="S4" t="str">
            <v>Q1 2004</v>
          </cell>
          <cell r="T4" t="str">
            <v>Q2 2004</v>
          </cell>
          <cell r="U4" t="str">
            <v>Q3 2004</v>
          </cell>
          <cell r="V4" t="str">
            <v>Q4 2004</v>
          </cell>
          <cell r="W4" t="str">
            <v>Q1 2005</v>
          </cell>
          <cell r="X4" t="str">
            <v>Q2 2005</v>
          </cell>
          <cell r="Y4" t="str">
            <v>Q3 2005</v>
          </cell>
          <cell r="Z4" t="str">
            <v>Q4 2005</v>
          </cell>
          <cell r="AA4" t="str">
            <v>Q1 2006</v>
          </cell>
          <cell r="AB4" t="str">
            <v>Q2 2006</v>
          </cell>
          <cell r="AC4" t="str">
            <v>Q3 2006</v>
          </cell>
          <cell r="AD4" t="str">
            <v>Q4 2006</v>
          </cell>
          <cell r="AE4" t="str">
            <v>Q1 2007</v>
          </cell>
          <cell r="AF4" t="str">
            <v>Q2 2007</v>
          </cell>
          <cell r="AG4" t="str">
            <v>Q3 2007</v>
          </cell>
          <cell r="AH4" t="str">
            <v>Q4 2007</v>
          </cell>
          <cell r="AI4" t="str">
            <v>Q1 2008</v>
          </cell>
          <cell r="AJ4" t="str">
            <v>Q2 2008</v>
          </cell>
          <cell r="AK4" t="str">
            <v>Q3 2008</v>
          </cell>
          <cell r="AL4" t="str">
            <v>Q4 2008</v>
          </cell>
          <cell r="AM4" t="str">
            <v>Q1 2009</v>
          </cell>
          <cell r="AN4" t="str">
            <v>Q2 2009</v>
          </cell>
          <cell r="AO4" t="str">
            <v>Q3 2009</v>
          </cell>
          <cell r="AP4" t="str">
            <v>Q4 2009</v>
          </cell>
          <cell r="AQ4" t="str">
            <v>Q1 2010</v>
          </cell>
          <cell r="AR4" t="str">
            <v>Q2 2010</v>
          </cell>
          <cell r="AS4" t="str">
            <v>Q3 2010</v>
          </cell>
          <cell r="AT4" t="str">
            <v>Q4 2010</v>
          </cell>
        </row>
        <row r="5">
          <cell r="B5">
            <v>576</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127.4124910578209</v>
          </cell>
          <cell r="Z5">
            <v>127.4124910578209</v>
          </cell>
          <cell r="AA5">
            <v>127.4124910578209</v>
          </cell>
          <cell r="AB5">
            <v>127.4124910578209</v>
          </cell>
          <cell r="AC5">
            <v>127.4124910578209</v>
          </cell>
          <cell r="AD5">
            <v>127.4</v>
          </cell>
          <cell r="AE5">
            <v>127.4</v>
          </cell>
          <cell r="AF5">
            <v>127.4</v>
          </cell>
          <cell r="AG5">
            <v>127.4</v>
          </cell>
          <cell r="AH5">
            <v>127.4</v>
          </cell>
          <cell r="AI5">
            <v>127.4</v>
          </cell>
          <cell r="AJ5">
            <v>127.4</v>
          </cell>
          <cell r="AK5">
            <v>127.4</v>
          </cell>
          <cell r="AL5">
            <v>127.4</v>
          </cell>
          <cell r="AM5">
            <v>127.4</v>
          </cell>
          <cell r="AN5">
            <v>127.4</v>
          </cell>
          <cell r="AO5">
            <v>127.4</v>
          </cell>
          <cell r="AP5">
            <v>127.39883673913721</v>
          </cell>
          <cell r="AQ5">
            <v>127.39883673913721</v>
          </cell>
          <cell r="AR5">
            <v>127.39883673913721</v>
          </cell>
          <cell r="AS5">
            <v>127.39883673913721</v>
          </cell>
          <cell r="AT5">
            <v>127.39883673913721</v>
          </cell>
        </row>
        <row r="6">
          <cell r="B6">
            <v>528</v>
          </cell>
          <cell r="C6">
            <v>422.11528634968033</v>
          </cell>
          <cell r="D6">
            <v>421.49322171716761</v>
          </cell>
          <cell r="E6">
            <v>421.49322171716761</v>
          </cell>
          <cell r="F6">
            <v>421.7598208453781</v>
          </cell>
          <cell r="G6">
            <v>421.7598208453781</v>
          </cell>
          <cell r="H6">
            <v>421.759820845391</v>
          </cell>
          <cell r="I6">
            <v>421.759820845391</v>
          </cell>
          <cell r="J6">
            <v>421.759820845391</v>
          </cell>
          <cell r="K6">
            <v>422.11528634968033</v>
          </cell>
          <cell r="L6">
            <v>421.22662258894417</v>
          </cell>
          <cell r="M6">
            <v>422.11528634968033</v>
          </cell>
          <cell r="N6">
            <v>421.22662258894417</v>
          </cell>
          <cell r="O6">
            <v>421.22662258894417</v>
          </cell>
          <cell r="P6">
            <v>421.22662258894417</v>
          </cell>
          <cell r="Q6">
            <v>423.0039501104165</v>
          </cell>
          <cell r="R6">
            <v>423.89261387115266</v>
          </cell>
          <cell r="S6">
            <v>423.89261387115266</v>
          </cell>
          <cell r="T6">
            <v>421.22662258894417</v>
          </cell>
          <cell r="U6">
            <v>422.11528634968033</v>
          </cell>
          <cell r="V6">
            <v>423.0039501104165</v>
          </cell>
          <cell r="W6">
            <v>423.89261387115266</v>
          </cell>
          <cell r="X6">
            <v>423.89261387115266</v>
          </cell>
          <cell r="Y6">
            <v>423.89261387115266</v>
          </cell>
          <cell r="Z6">
            <v>423.89261387115266</v>
          </cell>
          <cell r="AA6">
            <v>423.89261387115266</v>
          </cell>
          <cell r="AB6">
            <v>423.0039501104165</v>
          </cell>
          <cell r="AC6">
            <v>423.0039501104165</v>
          </cell>
          <cell r="AD6">
            <v>423.0039501104165</v>
          </cell>
          <cell r="AE6">
            <v>423.0039501104165</v>
          </cell>
          <cell r="AF6">
            <v>423.0039501104165</v>
          </cell>
          <cell r="AG6">
            <v>423.0039501104165</v>
          </cell>
          <cell r="AH6">
            <v>423.0039501104165</v>
          </cell>
          <cell r="AI6">
            <v>423.0039501104165</v>
          </cell>
          <cell r="AJ6">
            <v>422.4</v>
          </cell>
          <cell r="AK6">
            <v>422.4</v>
          </cell>
          <cell r="AL6">
            <v>423.62601474293177</v>
          </cell>
          <cell r="AM6">
            <v>423.62601474293177</v>
          </cell>
          <cell r="AN6">
            <v>423.62601474293177</v>
          </cell>
          <cell r="AO6">
            <v>423.62601474293177</v>
          </cell>
          <cell r="AP6">
            <v>423.626014742932</v>
          </cell>
          <cell r="AQ6">
            <v>423.626014742932</v>
          </cell>
          <cell r="AR6">
            <v>423.626014742932</v>
          </cell>
          <cell r="AS6">
            <v>423.626014742932</v>
          </cell>
          <cell r="AT6">
            <v>423.626014742932</v>
          </cell>
        </row>
        <row r="7">
          <cell r="B7">
            <v>913</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9.0264753883303861</v>
          </cell>
          <cell r="S7">
            <v>12.442760822674826</v>
          </cell>
          <cell r="T7">
            <v>12.455437626791051</v>
          </cell>
          <cell r="U7">
            <v>14.472188130453814</v>
          </cell>
          <cell r="V7">
            <v>14.102130959799744</v>
          </cell>
          <cell r="W7">
            <v>12.564978015835729</v>
          </cell>
          <cell r="X7">
            <v>12.63057335523553</v>
          </cell>
          <cell r="Y7">
            <v>15.648556682714981</v>
          </cell>
          <cell r="Z7">
            <v>16.406499956982959</v>
          </cell>
          <cell r="AA7">
            <v>16.403759145095723</v>
          </cell>
          <cell r="AB7">
            <v>16.476854569476647</v>
          </cell>
          <cell r="AC7">
            <v>18.565917317541039</v>
          </cell>
          <cell r="AD7">
            <v>20.100000000000001</v>
          </cell>
          <cell r="AE7">
            <v>20</v>
          </cell>
          <cell r="AF7">
            <v>20</v>
          </cell>
          <cell r="AG7">
            <v>20.106167092672102</v>
          </cell>
          <cell r="AH7">
            <v>20.450724530428641</v>
          </cell>
          <cell r="AI7">
            <v>19.541559023579765</v>
          </cell>
          <cell r="AJ7">
            <v>19.569708648815684</v>
          </cell>
          <cell r="AK7">
            <v>20.342814579429717</v>
          </cell>
          <cell r="AL7">
            <v>20.308738419399216</v>
          </cell>
          <cell r="AM7">
            <v>22.133690852509041</v>
          </cell>
          <cell r="AN7">
            <v>19.98994212352596</v>
          </cell>
          <cell r="AO7">
            <v>20.72507575565723</v>
          </cell>
          <cell r="AP7">
            <v>28.815177805019921</v>
          </cell>
          <cell r="AQ7">
            <v>28.471097994683621</v>
          </cell>
          <cell r="AR7">
            <v>28.517091290174282</v>
          </cell>
          <cell r="AS7">
            <v>30.046626052557034</v>
          </cell>
          <cell r="AT7">
            <v>35.283779439744947</v>
          </cell>
        </row>
        <row r="8">
          <cell r="B8">
            <v>993</v>
          </cell>
          <cell r="C8">
            <v>199.03135650079759</v>
          </cell>
          <cell r="D8">
            <v>199.1593240823436</v>
          </cell>
          <cell r="E8">
            <v>199.13088684200002</v>
          </cell>
          <cell r="F8">
            <v>199.21797589055217</v>
          </cell>
          <cell r="G8">
            <v>197.06918691709211</v>
          </cell>
          <cell r="H8">
            <v>197.03986101298781</v>
          </cell>
          <cell r="I8">
            <v>197.06918691709211</v>
          </cell>
          <cell r="J8">
            <v>197.03986101298781</v>
          </cell>
          <cell r="K8">
            <v>196.98209786853997</v>
          </cell>
          <cell r="L8">
            <v>196.95277196443567</v>
          </cell>
          <cell r="M8">
            <v>196.92433472409212</v>
          </cell>
          <cell r="N8">
            <v>196.92433472409212</v>
          </cell>
          <cell r="O8">
            <v>191.95937029285915</v>
          </cell>
          <cell r="P8">
            <v>193.50653390030081</v>
          </cell>
          <cell r="Q8">
            <v>193.50386790901862</v>
          </cell>
          <cell r="R8">
            <v>193.3936736026873</v>
          </cell>
          <cell r="S8">
            <v>194.31432925881001</v>
          </cell>
          <cell r="T8">
            <v>214.15730237228792</v>
          </cell>
          <cell r="U8">
            <v>212.22890201149045</v>
          </cell>
          <cell r="V8">
            <v>208.20236651159485</v>
          </cell>
          <cell r="W8">
            <v>165.7029108181483</v>
          </cell>
          <cell r="X8">
            <v>185.32993863776733</v>
          </cell>
          <cell r="Y8">
            <v>190.09495372283467</v>
          </cell>
          <cell r="Z8">
            <v>185.82403568873661</v>
          </cell>
          <cell r="AA8">
            <v>162.44684679881098</v>
          </cell>
          <cell r="AB8">
            <v>165.80332982311148</v>
          </cell>
          <cell r="AC8">
            <v>168.77591010277396</v>
          </cell>
          <cell r="AD8">
            <v>171.92444580706223</v>
          </cell>
          <cell r="AE8">
            <v>164.86401222801337</v>
          </cell>
          <cell r="AF8">
            <v>147.76345548016727</v>
          </cell>
          <cell r="AG8">
            <v>142.72650928431463</v>
          </cell>
          <cell r="AH8">
            <v>137.61313800503873</v>
          </cell>
          <cell r="AI8">
            <v>133.35643859111249</v>
          </cell>
          <cell r="AJ8">
            <v>160.33893635834477</v>
          </cell>
          <cell r="AK8">
            <v>124.65375438222316</v>
          </cell>
          <cell r="AL8">
            <v>124.7035195528244</v>
          </cell>
          <cell r="AM8">
            <v>119.6301381427816</v>
          </cell>
          <cell r="AN8">
            <v>119.51105719884296</v>
          </cell>
          <cell r="AO8">
            <v>119.54127176670799</v>
          </cell>
          <cell r="AP8">
            <v>154.36800454995847</v>
          </cell>
          <cell r="AQ8">
            <v>465.77444825088759</v>
          </cell>
          <cell r="AR8">
            <v>488.76329107737155</v>
          </cell>
          <cell r="AS8">
            <v>499.58099503681296</v>
          </cell>
          <cell r="AT8">
            <v>500.72292796935886</v>
          </cell>
        </row>
      </sheetData>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Qt.Data"/>
      <sheetName val="AppAn.Data"/>
      <sheetName val="User guide &amp; contents"/>
      <sheetName val="Disclaimer"/>
      <sheetName val="Exec Summary"/>
      <sheetName val="Snapshot"/>
      <sheetName val="Gold Demand"/>
      <sheetName val="Gold Balance"/>
      <sheetName val="Jewellery"/>
      <sheetName val="Bar &amp; Coin"/>
      <sheetName val="Consumer"/>
      <sheetName val="Consumer Per Capita"/>
      <sheetName val="Prices"/>
      <sheetName val="India Supply"/>
      <sheetName val="Official Reserves"/>
      <sheetName val="ETFs"/>
    </sheetNames>
    <sheetDataSet>
      <sheetData sheetId="0">
        <row r="5">
          <cell r="B5">
            <v>32150.746599999999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nkings Sorted"/>
      <sheetName val="Ranking"/>
      <sheetName val="1. Gold (Tonnes)"/>
      <sheetName val="2. Gold (US$ Millions)"/>
      <sheetName val="3. FX Reserves (US$ Millions)"/>
      <sheetName val="4.Total Reserves (US$ Millions)"/>
      <sheetName val="5. Gold (% Total Reserves)"/>
      <sheetName val="1. Instructions"/>
      <sheetName val="Gold_Monthly"/>
      <sheetName val="FX_Monthly"/>
      <sheetName val="Non-IFS 2"/>
      <sheetName val="Country Key"/>
      <sheetName val="Sheet3"/>
    </sheetNames>
    <sheetDataSet>
      <sheetData sheetId="0"/>
      <sheetData sheetId="1"/>
      <sheetData sheetId="2"/>
      <sheetData sheetId="3"/>
      <sheetData sheetId="4"/>
      <sheetData sheetId="5"/>
      <sheetData sheetId="6"/>
      <sheetData sheetId="7"/>
      <sheetData sheetId="8">
        <row r="2">
          <cell r="K2" t="str">
            <v>MIDHEADER</v>
          </cell>
        </row>
      </sheetData>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3F2A4-B271-4020-A225-02E0C2D4B7C4}">
  <dimension ref="B3:M44"/>
  <sheetViews>
    <sheetView showGridLines="0" zoomScaleNormal="100" workbookViewId="0">
      <selection activeCell="Q23" sqref="Q23"/>
    </sheetView>
  </sheetViews>
  <sheetFormatPr defaultColWidth="9.109375" defaultRowHeight="13.2" x14ac:dyDescent="0.25"/>
  <cols>
    <col min="1" max="16384" width="9.109375" style="1"/>
  </cols>
  <sheetData>
    <row r="3" spans="2:13" ht="12.75" customHeight="1" x14ac:dyDescent="0.25"/>
    <row r="6" spans="2:13" x14ac:dyDescent="0.25">
      <c r="B6" s="13" t="s">
        <v>55</v>
      </c>
      <c r="C6" s="14"/>
      <c r="D6" s="14"/>
      <c r="E6" s="14"/>
      <c r="F6" s="14"/>
      <c r="G6" s="14"/>
      <c r="H6" s="14"/>
      <c r="I6" s="14"/>
      <c r="J6" s="14"/>
      <c r="K6" s="14"/>
      <c r="L6" s="14"/>
      <c r="M6" s="14"/>
    </row>
    <row r="7" spans="2:13" x14ac:dyDescent="0.25">
      <c r="B7" s="14"/>
      <c r="C7" s="14"/>
      <c r="D7" s="14"/>
      <c r="E7" s="14"/>
      <c r="F7" s="14"/>
      <c r="G7" s="14"/>
      <c r="H7" s="14"/>
      <c r="I7" s="14"/>
      <c r="J7" s="14"/>
      <c r="K7" s="14"/>
      <c r="L7" s="14"/>
      <c r="M7" s="14"/>
    </row>
    <row r="8" spans="2:13" x14ac:dyDescent="0.25">
      <c r="B8" s="14"/>
      <c r="C8" s="14"/>
      <c r="D8" s="14"/>
      <c r="E8" s="14"/>
      <c r="F8" s="14"/>
      <c r="G8" s="14"/>
      <c r="H8" s="14"/>
      <c r="I8" s="14"/>
      <c r="J8" s="14"/>
      <c r="K8" s="14"/>
      <c r="L8" s="14"/>
      <c r="M8" s="14"/>
    </row>
    <row r="9" spans="2:13" x14ac:dyDescent="0.25">
      <c r="B9" s="14"/>
      <c r="C9" s="14"/>
      <c r="D9" s="14"/>
      <c r="E9" s="14"/>
      <c r="F9" s="14"/>
      <c r="G9" s="14"/>
      <c r="H9" s="14"/>
      <c r="I9" s="14"/>
      <c r="J9" s="14"/>
      <c r="K9" s="14"/>
      <c r="L9" s="14"/>
      <c r="M9" s="14"/>
    </row>
    <row r="10" spans="2:13" x14ac:dyDescent="0.25">
      <c r="B10" s="14"/>
      <c r="C10" s="14"/>
      <c r="D10" s="14"/>
      <c r="E10" s="14"/>
      <c r="F10" s="14"/>
      <c r="G10" s="14"/>
      <c r="H10" s="14"/>
      <c r="I10" s="14"/>
      <c r="J10" s="14"/>
      <c r="K10" s="14"/>
      <c r="L10" s="14"/>
      <c r="M10" s="14"/>
    </row>
    <row r="11" spans="2:13" x14ac:dyDescent="0.25">
      <c r="B11" s="14"/>
      <c r="C11" s="14"/>
      <c r="D11" s="14"/>
      <c r="E11" s="14"/>
      <c r="F11" s="14"/>
      <c r="G11" s="14"/>
      <c r="H11" s="14"/>
      <c r="I11" s="14"/>
      <c r="J11" s="14"/>
      <c r="K11" s="14"/>
      <c r="L11" s="14"/>
      <c r="M11" s="14"/>
    </row>
    <row r="12" spans="2:13" x14ac:dyDescent="0.25">
      <c r="B12" s="14"/>
      <c r="C12" s="14"/>
      <c r="D12" s="14"/>
      <c r="E12" s="14"/>
      <c r="F12" s="14"/>
      <c r="G12" s="14"/>
      <c r="H12" s="14"/>
      <c r="I12" s="14"/>
      <c r="J12" s="14"/>
      <c r="K12" s="14"/>
      <c r="L12" s="14"/>
      <c r="M12" s="14"/>
    </row>
    <row r="13" spans="2:13" x14ac:dyDescent="0.25">
      <c r="B13" s="14"/>
      <c r="C13" s="14"/>
      <c r="D13" s="14"/>
      <c r="E13" s="14"/>
      <c r="F13" s="14"/>
      <c r="G13" s="14"/>
      <c r="H13" s="14"/>
      <c r="I13" s="14"/>
      <c r="J13" s="14"/>
      <c r="K13" s="14"/>
      <c r="L13" s="14"/>
      <c r="M13" s="14"/>
    </row>
    <row r="14" spans="2:13" x14ac:dyDescent="0.25">
      <c r="B14" s="14"/>
      <c r="C14" s="14"/>
      <c r="D14" s="14"/>
      <c r="E14" s="14"/>
      <c r="F14" s="14"/>
      <c r="G14" s="14"/>
      <c r="H14" s="14"/>
      <c r="I14" s="14"/>
      <c r="J14" s="14"/>
      <c r="K14" s="14"/>
      <c r="L14" s="14"/>
      <c r="M14" s="14"/>
    </row>
    <row r="15" spans="2:13" x14ac:dyDescent="0.25">
      <c r="B15" s="14"/>
      <c r="C15" s="14"/>
      <c r="D15" s="14"/>
      <c r="E15" s="14"/>
      <c r="F15" s="14"/>
      <c r="G15" s="14"/>
      <c r="H15" s="14"/>
      <c r="I15" s="14"/>
      <c r="J15" s="14"/>
      <c r="K15" s="14"/>
      <c r="L15" s="14"/>
      <c r="M15" s="14"/>
    </row>
    <row r="16" spans="2:13" x14ac:dyDescent="0.25">
      <c r="B16" s="14"/>
      <c r="C16" s="14"/>
      <c r="D16" s="14"/>
      <c r="E16" s="14"/>
      <c r="F16" s="14"/>
      <c r="G16" s="14"/>
      <c r="H16" s="14"/>
      <c r="I16" s="14"/>
      <c r="J16" s="14"/>
      <c r="K16" s="14"/>
      <c r="L16" s="14"/>
      <c r="M16" s="14"/>
    </row>
    <row r="17" spans="2:13" x14ac:dyDescent="0.25">
      <c r="B17" s="14"/>
      <c r="C17" s="14"/>
      <c r="D17" s="14"/>
      <c r="E17" s="14"/>
      <c r="F17" s="14"/>
      <c r="G17" s="14"/>
      <c r="H17" s="14"/>
      <c r="I17" s="14"/>
      <c r="J17" s="14"/>
      <c r="K17" s="14"/>
      <c r="L17" s="14"/>
      <c r="M17" s="14"/>
    </row>
    <row r="18" spans="2:13" x14ac:dyDescent="0.25">
      <c r="B18" s="14"/>
      <c r="C18" s="14"/>
      <c r="D18" s="14"/>
      <c r="E18" s="14"/>
      <c r="F18" s="14"/>
      <c r="G18" s="14"/>
      <c r="H18" s="14"/>
      <c r="I18" s="14"/>
      <c r="J18" s="14"/>
      <c r="K18" s="14"/>
      <c r="L18" s="14"/>
      <c r="M18" s="14"/>
    </row>
    <row r="19" spans="2:13" x14ac:dyDescent="0.25">
      <c r="B19" s="14"/>
      <c r="C19" s="14"/>
      <c r="D19" s="14"/>
      <c r="E19" s="14"/>
      <c r="F19" s="14"/>
      <c r="G19" s="14"/>
      <c r="H19" s="14"/>
      <c r="I19" s="14"/>
      <c r="J19" s="14"/>
      <c r="K19" s="14"/>
      <c r="L19" s="14"/>
      <c r="M19" s="14"/>
    </row>
    <row r="20" spans="2:13" x14ac:dyDescent="0.25">
      <c r="B20" s="14"/>
      <c r="C20" s="14"/>
      <c r="D20" s="14"/>
      <c r="E20" s="14"/>
      <c r="F20" s="14"/>
      <c r="G20" s="14"/>
      <c r="H20" s="14"/>
      <c r="I20" s="14"/>
      <c r="J20" s="14"/>
      <c r="K20" s="14"/>
      <c r="L20" s="14"/>
      <c r="M20" s="14"/>
    </row>
    <row r="21" spans="2:13" x14ac:dyDescent="0.25">
      <c r="B21" s="14"/>
      <c r="C21" s="14"/>
      <c r="D21" s="14"/>
      <c r="E21" s="14"/>
      <c r="F21" s="14"/>
      <c r="G21" s="14"/>
      <c r="H21" s="14"/>
      <c r="I21" s="14"/>
      <c r="J21" s="14"/>
      <c r="K21" s="14"/>
      <c r="L21" s="14"/>
      <c r="M21" s="14"/>
    </row>
    <row r="22" spans="2:13" x14ac:dyDescent="0.25">
      <c r="B22" s="14"/>
      <c r="C22" s="14"/>
      <c r="D22" s="14"/>
      <c r="E22" s="14"/>
      <c r="F22" s="14"/>
      <c r="G22" s="14"/>
      <c r="H22" s="14"/>
      <c r="I22" s="14"/>
      <c r="J22" s="14"/>
      <c r="K22" s="14"/>
      <c r="L22" s="14"/>
      <c r="M22" s="14"/>
    </row>
    <row r="23" spans="2:13" x14ac:dyDescent="0.25">
      <c r="B23" s="14"/>
      <c r="C23" s="14"/>
      <c r="D23" s="14"/>
      <c r="E23" s="14"/>
      <c r="F23" s="14"/>
      <c r="G23" s="14"/>
      <c r="H23" s="14"/>
      <c r="I23" s="14"/>
      <c r="J23" s="14"/>
      <c r="K23" s="14"/>
      <c r="L23" s="14"/>
      <c r="M23" s="14"/>
    </row>
    <row r="24" spans="2:13" x14ac:dyDescent="0.25">
      <c r="B24" s="14"/>
      <c r="C24" s="14"/>
      <c r="D24" s="14"/>
      <c r="E24" s="14"/>
      <c r="F24" s="14"/>
      <c r="G24" s="14"/>
      <c r="H24" s="14"/>
      <c r="I24" s="14"/>
      <c r="J24" s="14"/>
      <c r="K24" s="14"/>
      <c r="L24" s="14"/>
      <c r="M24" s="14"/>
    </row>
    <row r="25" spans="2:13" x14ac:dyDescent="0.25">
      <c r="B25" s="14"/>
      <c r="C25" s="14"/>
      <c r="D25" s="14"/>
      <c r="E25" s="14"/>
      <c r="F25" s="14"/>
      <c r="G25" s="14"/>
      <c r="H25" s="14"/>
      <c r="I25" s="14"/>
      <c r="J25" s="14"/>
      <c r="K25" s="14"/>
      <c r="L25" s="14"/>
      <c r="M25" s="14"/>
    </row>
    <row r="26" spans="2:13" x14ac:dyDescent="0.25">
      <c r="B26" s="14"/>
      <c r="C26" s="14"/>
      <c r="D26" s="14"/>
      <c r="E26" s="14"/>
      <c r="F26" s="14"/>
      <c r="G26" s="14"/>
      <c r="H26" s="14"/>
      <c r="I26" s="14"/>
      <c r="J26" s="14"/>
      <c r="K26" s="14"/>
      <c r="L26" s="14"/>
      <c r="M26" s="14"/>
    </row>
    <row r="27" spans="2:13" x14ac:dyDescent="0.25">
      <c r="B27" s="14"/>
      <c r="C27" s="14"/>
      <c r="D27" s="14"/>
      <c r="E27" s="14"/>
      <c r="F27" s="14"/>
      <c r="G27" s="14"/>
      <c r="H27" s="14"/>
      <c r="I27" s="14"/>
      <c r="J27" s="14"/>
      <c r="K27" s="14"/>
      <c r="L27" s="14"/>
      <c r="M27" s="14"/>
    </row>
    <row r="28" spans="2:13" x14ac:dyDescent="0.25">
      <c r="B28" s="14"/>
      <c r="C28" s="14"/>
      <c r="D28" s="14"/>
      <c r="E28" s="14"/>
      <c r="F28" s="14"/>
      <c r="G28" s="14"/>
      <c r="H28" s="14"/>
      <c r="I28" s="14"/>
      <c r="J28" s="14"/>
      <c r="K28" s="14"/>
      <c r="L28" s="14"/>
      <c r="M28" s="14"/>
    </row>
    <row r="29" spans="2:13" x14ac:dyDescent="0.25">
      <c r="B29" s="14"/>
      <c r="C29" s="14"/>
      <c r="D29" s="14"/>
      <c r="E29" s="14"/>
      <c r="F29" s="14"/>
      <c r="G29" s="14"/>
      <c r="H29" s="14"/>
      <c r="I29" s="14"/>
      <c r="J29" s="14"/>
      <c r="K29" s="14"/>
      <c r="L29" s="14"/>
      <c r="M29" s="14"/>
    </row>
    <row r="30" spans="2:13" x14ac:dyDescent="0.25">
      <c r="B30" s="14"/>
      <c r="C30" s="14"/>
      <c r="D30" s="14"/>
      <c r="E30" s="14"/>
      <c r="F30" s="14"/>
      <c r="G30" s="14"/>
      <c r="H30" s="14"/>
      <c r="I30" s="14"/>
      <c r="J30" s="14"/>
      <c r="K30" s="14"/>
      <c r="L30" s="14"/>
      <c r="M30" s="14"/>
    </row>
    <row r="31" spans="2:13" x14ac:dyDescent="0.25">
      <c r="B31" s="14"/>
      <c r="C31" s="14"/>
      <c r="D31" s="14"/>
      <c r="E31" s="14"/>
      <c r="F31" s="14"/>
      <c r="G31" s="14"/>
      <c r="H31" s="14"/>
      <c r="I31" s="14"/>
      <c r="J31" s="14"/>
      <c r="K31" s="14"/>
      <c r="L31" s="14"/>
      <c r="M31" s="14"/>
    </row>
    <row r="32" spans="2:13" x14ac:dyDescent="0.25">
      <c r="B32" s="14"/>
      <c r="C32" s="14"/>
      <c r="D32" s="14"/>
      <c r="E32" s="14"/>
      <c r="F32" s="14"/>
      <c r="G32" s="14"/>
      <c r="H32" s="14"/>
      <c r="I32" s="14"/>
      <c r="J32" s="14"/>
      <c r="K32" s="14"/>
      <c r="L32" s="14"/>
      <c r="M32" s="14"/>
    </row>
    <row r="33" spans="2:13" x14ac:dyDescent="0.25">
      <c r="B33" s="14"/>
      <c r="C33" s="14"/>
      <c r="D33" s="14"/>
      <c r="E33" s="14"/>
      <c r="F33" s="14"/>
      <c r="G33" s="14"/>
      <c r="H33" s="14"/>
      <c r="I33" s="14"/>
      <c r="J33" s="14"/>
      <c r="K33" s="14"/>
      <c r="L33" s="14"/>
      <c r="M33" s="14"/>
    </row>
    <row r="34" spans="2:13" x14ac:dyDescent="0.25">
      <c r="B34" s="14"/>
      <c r="C34" s="14"/>
      <c r="D34" s="14"/>
      <c r="E34" s="14"/>
      <c r="F34" s="14"/>
      <c r="G34" s="14"/>
      <c r="H34" s="14"/>
      <c r="I34" s="14"/>
      <c r="J34" s="14"/>
      <c r="K34" s="14"/>
      <c r="L34" s="14"/>
      <c r="M34" s="14"/>
    </row>
    <row r="35" spans="2:13" x14ac:dyDescent="0.25">
      <c r="B35" s="14"/>
      <c r="C35" s="14"/>
      <c r="D35" s="14"/>
      <c r="E35" s="14"/>
      <c r="F35" s="14"/>
      <c r="G35" s="14"/>
      <c r="H35" s="14"/>
      <c r="I35" s="14"/>
      <c r="J35" s="14"/>
      <c r="K35" s="14"/>
      <c r="L35" s="14"/>
      <c r="M35" s="14"/>
    </row>
    <row r="36" spans="2:13" x14ac:dyDescent="0.25">
      <c r="B36" s="14"/>
      <c r="C36" s="14"/>
      <c r="D36" s="14"/>
      <c r="E36" s="14"/>
      <c r="F36" s="14"/>
      <c r="G36" s="14"/>
      <c r="H36" s="14"/>
      <c r="I36" s="14"/>
      <c r="J36" s="14"/>
      <c r="K36" s="14"/>
      <c r="L36" s="14"/>
      <c r="M36" s="14"/>
    </row>
    <row r="37" spans="2:13" x14ac:dyDescent="0.25">
      <c r="B37" s="14"/>
      <c r="C37" s="14"/>
      <c r="D37" s="14"/>
      <c r="E37" s="14"/>
      <c r="F37" s="14"/>
      <c r="G37" s="14"/>
      <c r="H37" s="14"/>
      <c r="I37" s="14"/>
      <c r="J37" s="14"/>
      <c r="K37" s="14"/>
      <c r="L37" s="14"/>
      <c r="M37" s="14"/>
    </row>
    <row r="38" spans="2:13" x14ac:dyDescent="0.25">
      <c r="B38" s="14"/>
      <c r="C38" s="14"/>
      <c r="D38" s="14"/>
      <c r="E38" s="14"/>
      <c r="F38" s="14"/>
      <c r="G38" s="14"/>
      <c r="H38" s="14"/>
      <c r="I38" s="14"/>
      <c r="J38" s="14"/>
      <c r="K38" s="14"/>
      <c r="L38" s="14"/>
      <c r="M38" s="14"/>
    </row>
    <row r="39" spans="2:13" x14ac:dyDescent="0.25">
      <c r="B39" s="14"/>
      <c r="C39" s="14"/>
      <c r="D39" s="14"/>
      <c r="E39" s="14"/>
      <c r="F39" s="14"/>
      <c r="G39" s="14"/>
      <c r="H39" s="14"/>
      <c r="I39" s="14"/>
      <c r="J39" s="14"/>
      <c r="K39" s="14"/>
      <c r="L39" s="14"/>
      <c r="M39" s="14"/>
    </row>
    <row r="40" spans="2:13" x14ac:dyDescent="0.25">
      <c r="B40" s="14"/>
      <c r="C40" s="14"/>
      <c r="D40" s="14"/>
      <c r="E40" s="14"/>
      <c r="F40" s="14"/>
      <c r="G40" s="14"/>
      <c r="H40" s="14"/>
      <c r="I40" s="14"/>
      <c r="J40" s="14"/>
      <c r="K40" s="14"/>
      <c r="L40" s="14"/>
      <c r="M40" s="14"/>
    </row>
    <row r="41" spans="2:13" x14ac:dyDescent="0.25">
      <c r="B41" s="14"/>
      <c r="C41" s="14"/>
      <c r="D41" s="14"/>
      <c r="E41" s="14"/>
      <c r="F41" s="14"/>
      <c r="G41" s="14"/>
      <c r="H41" s="14"/>
      <c r="I41" s="14"/>
      <c r="J41" s="14"/>
      <c r="K41" s="14"/>
      <c r="L41" s="14"/>
      <c r="M41" s="14"/>
    </row>
    <row r="42" spans="2:13" x14ac:dyDescent="0.25">
      <c r="B42" s="14"/>
      <c r="C42" s="14"/>
      <c r="D42" s="14"/>
      <c r="E42" s="14"/>
      <c r="F42" s="14"/>
      <c r="G42" s="14"/>
      <c r="H42" s="14"/>
      <c r="I42" s="14"/>
      <c r="J42" s="14"/>
      <c r="K42" s="14"/>
      <c r="L42" s="14"/>
      <c r="M42" s="14"/>
    </row>
    <row r="43" spans="2:13" x14ac:dyDescent="0.25">
      <c r="B43" s="14"/>
      <c r="C43" s="14"/>
      <c r="D43" s="14"/>
      <c r="E43" s="14"/>
      <c r="F43" s="14"/>
      <c r="G43" s="14"/>
      <c r="H43" s="14"/>
      <c r="I43" s="14"/>
      <c r="J43" s="14"/>
      <c r="K43" s="14"/>
      <c r="L43" s="14"/>
      <c r="M43" s="14"/>
    </row>
    <row r="44" spans="2:13" x14ac:dyDescent="0.25">
      <c r="B44" s="14"/>
      <c r="C44" s="14"/>
      <c r="D44" s="14"/>
      <c r="E44" s="14"/>
      <c r="F44" s="14"/>
      <c r="G44" s="14"/>
      <c r="H44" s="14"/>
      <c r="I44" s="14"/>
      <c r="J44" s="14"/>
      <c r="K44" s="14"/>
      <c r="L44" s="14"/>
      <c r="M44" s="14"/>
    </row>
  </sheetData>
  <mergeCells count="1">
    <mergeCell ref="B6:M44"/>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3B7B-E22F-46C8-A113-6001C183D4A0}">
  <dimension ref="A1:V128"/>
  <sheetViews>
    <sheetView showGridLines="0" tabSelected="1" zoomScale="50" zoomScaleNormal="100" workbookViewId="0">
      <pane xSplit="1" ySplit="3" topLeftCell="B65" activePane="bottomRight" state="frozen"/>
      <selection pane="topRight" activeCell="D1" sqref="D1"/>
      <selection pane="bottomLeft" activeCell="A4" sqref="A4"/>
      <selection pane="bottomRight" activeCell="AA71" sqref="AA71"/>
    </sheetView>
  </sheetViews>
  <sheetFormatPr defaultColWidth="9.109375" defaultRowHeight="13.2" x14ac:dyDescent="0.25"/>
  <cols>
    <col min="1" max="1" width="36.5546875" style="3" bestFit="1" customWidth="1"/>
    <col min="2" max="16384" width="9.109375" style="3"/>
  </cols>
  <sheetData>
    <row r="1" spans="1:10" x14ac:dyDescent="0.25">
      <c r="A1" s="2" t="s">
        <v>56</v>
      </c>
    </row>
    <row r="2" spans="1:10" x14ac:dyDescent="0.25">
      <c r="A2" s="2"/>
    </row>
    <row r="3" spans="1:10" x14ac:dyDescent="0.25">
      <c r="A3" s="4"/>
      <c r="B3" s="4">
        <v>2010</v>
      </c>
      <c r="C3" s="4">
        <v>2011</v>
      </c>
      <c r="D3" s="4">
        <v>2012</v>
      </c>
      <c r="E3" s="4">
        <v>2013</v>
      </c>
      <c r="F3" s="4">
        <v>2014</v>
      </c>
      <c r="G3" s="4">
        <v>2015</v>
      </c>
      <c r="H3" s="4">
        <v>2016</v>
      </c>
      <c r="I3" s="4">
        <v>2017</v>
      </c>
      <c r="J3" s="4">
        <v>2018</v>
      </c>
    </row>
    <row r="4" spans="1:10" x14ac:dyDescent="0.25">
      <c r="A4" s="2" t="s">
        <v>0</v>
      </c>
      <c r="B4" s="7"/>
      <c r="C4" s="7"/>
      <c r="D4" s="7"/>
      <c r="E4" s="7"/>
      <c r="F4" s="7"/>
      <c r="G4" s="7"/>
      <c r="H4" s="7"/>
      <c r="I4" s="7"/>
      <c r="J4" s="7"/>
    </row>
    <row r="5" spans="1:10" x14ac:dyDescent="0.25">
      <c r="A5" s="3" t="s">
        <v>1</v>
      </c>
      <c r="B5" s="6">
        <v>231.25239048896159</v>
      </c>
      <c r="C5" s="6">
        <v>233.92483231909441</v>
      </c>
      <c r="D5" s="6">
        <v>234.62266992457921</v>
      </c>
      <c r="E5" s="6">
        <v>230.12</v>
      </c>
      <c r="F5" s="6">
        <v>209.99999999999997</v>
      </c>
      <c r="G5" s="6">
        <v>216.74499999999998</v>
      </c>
      <c r="H5" s="6">
        <v>229.10000000000002</v>
      </c>
      <c r="I5" s="6">
        <v>236.49570233869792</v>
      </c>
      <c r="J5" s="6">
        <v>221.70426378766851</v>
      </c>
    </row>
    <row r="6" spans="1:10" x14ac:dyDescent="0.25">
      <c r="A6" s="3" t="s">
        <v>2</v>
      </c>
      <c r="B6" s="6">
        <v>102.14723099999999</v>
      </c>
      <c r="C6" s="6">
        <v>101.97499999999999</v>
      </c>
      <c r="D6" s="6">
        <v>106.37299999999999</v>
      </c>
      <c r="E6" s="6">
        <v>131.404</v>
      </c>
      <c r="F6" s="6">
        <v>151.21173099999999</v>
      </c>
      <c r="G6" s="6">
        <v>157.66767200000001</v>
      </c>
      <c r="H6" s="6">
        <v>163.13595100000003</v>
      </c>
      <c r="I6" s="6">
        <v>171.246768</v>
      </c>
      <c r="J6" s="6">
        <v>189.00661728466591</v>
      </c>
    </row>
    <row r="7" spans="1:10" x14ac:dyDescent="0.25">
      <c r="A7" s="3" t="s">
        <v>3</v>
      </c>
      <c r="B7" s="6">
        <v>78.764048562764685</v>
      </c>
      <c r="C7" s="6">
        <v>94.433839402028212</v>
      </c>
      <c r="D7" s="6">
        <v>107.46960232509934</v>
      </c>
      <c r="E7" s="6">
        <v>105.84765870160786</v>
      </c>
      <c r="F7" s="6">
        <v>113.38316368649483</v>
      </c>
      <c r="G7" s="6">
        <v>131.60711655947904</v>
      </c>
      <c r="H7" s="6">
        <v>127.84858138890013</v>
      </c>
      <c r="I7" s="6">
        <v>119.42212575679234</v>
      </c>
      <c r="J7" s="6">
        <v>115.41153216191056</v>
      </c>
    </row>
    <row r="8" spans="1:10" x14ac:dyDescent="0.25">
      <c r="A8" s="5" t="s">
        <v>4</v>
      </c>
      <c r="B8" s="10">
        <v>412.16367005172629</v>
      </c>
      <c r="C8" s="10">
        <v>430.33367172112264</v>
      </c>
      <c r="D8" s="10">
        <v>448.46527224967855</v>
      </c>
      <c r="E8" s="10">
        <v>467.37165870160788</v>
      </c>
      <c r="F8" s="10">
        <v>474.59489468649474</v>
      </c>
      <c r="G8" s="10">
        <v>506.01978855947903</v>
      </c>
      <c r="H8" s="10">
        <v>520.08453238890024</v>
      </c>
      <c r="I8" s="10">
        <v>527.1645960954902</v>
      </c>
      <c r="J8" s="10">
        <v>526.12241323424496</v>
      </c>
    </row>
    <row r="9" spans="1:10" x14ac:dyDescent="0.25">
      <c r="B9" s="11">
        <v>0</v>
      </c>
      <c r="C9" s="11">
        <f>C8/B8-1</f>
        <v>4.4084432931985607E-2</v>
      </c>
      <c r="D9" s="11">
        <f t="shared" ref="D9" si="0">D8/C8-1</f>
        <v>4.2133817825684927E-2</v>
      </c>
      <c r="E9" s="11">
        <f t="shared" ref="E9" si="1">E8/D8-1</f>
        <v>4.2157972137033983E-2</v>
      </c>
      <c r="F9" s="11">
        <f t="shared" ref="F9" si="2">F8/E8-1</f>
        <v>1.5455014976632375E-2</v>
      </c>
      <c r="G9" s="11">
        <f t="shared" ref="G9" si="3">G8/F8-1</f>
        <v>6.6214142260722753E-2</v>
      </c>
      <c r="H9" s="11">
        <f t="shared" ref="H9" si="4">H8/G8-1</f>
        <v>2.7794849425672119E-2</v>
      </c>
      <c r="I9" s="11">
        <f t="shared" ref="I9" si="5">I8/H8-1</f>
        <v>1.3613294119840802E-2</v>
      </c>
      <c r="J9" s="11">
        <f t="shared" ref="J9" si="6">J8/I8-1</f>
        <v>-1.9769591299648726E-3</v>
      </c>
    </row>
    <row r="10" spans="1:10" x14ac:dyDescent="0.25">
      <c r="A10" s="2" t="s">
        <v>5</v>
      </c>
      <c r="B10" s="7"/>
      <c r="C10" s="7"/>
      <c r="D10" s="7"/>
      <c r="E10" s="7"/>
      <c r="F10" s="7"/>
      <c r="G10" s="7"/>
      <c r="H10" s="7"/>
      <c r="I10" s="7"/>
      <c r="J10" s="7"/>
    </row>
    <row r="11" spans="1:10" x14ac:dyDescent="0.25">
      <c r="A11" s="3" t="s">
        <v>6</v>
      </c>
      <c r="B11" s="6">
        <v>184.82362000999998</v>
      </c>
      <c r="C11" s="6">
        <v>183.83485021000001</v>
      </c>
      <c r="D11" s="6">
        <v>189.76376342250205</v>
      </c>
      <c r="E11" s="6">
        <v>182.41872384999999</v>
      </c>
      <c r="F11" s="6">
        <v>171.09699999999998</v>
      </c>
      <c r="G11" s="6">
        <v>170.53126375792903</v>
      </c>
      <c r="H11" s="6">
        <v>166.00560297612299</v>
      </c>
      <c r="I11" s="6">
        <v>166.59836480952009</v>
      </c>
      <c r="J11" s="6">
        <v>158.4302587853951</v>
      </c>
    </row>
    <row r="12" spans="1:10" x14ac:dyDescent="0.25">
      <c r="A12" s="3" t="s">
        <v>7</v>
      </c>
      <c r="B12" s="6">
        <v>71.546999999999997</v>
      </c>
      <c r="C12" s="6">
        <v>77.709000000000003</v>
      </c>
      <c r="D12" s="6">
        <v>80.173000000000016</v>
      </c>
      <c r="E12" s="6">
        <v>89.322999999999993</v>
      </c>
      <c r="F12" s="6">
        <v>90.438000000000017</v>
      </c>
      <c r="G12" s="6">
        <v>95.4</v>
      </c>
      <c r="H12" s="6">
        <v>95.923999999999992</v>
      </c>
      <c r="I12" s="6">
        <v>95.840129177340728</v>
      </c>
      <c r="J12" s="6">
        <v>97.105241493393592</v>
      </c>
    </row>
    <row r="13" spans="1:10" x14ac:dyDescent="0.25">
      <c r="A13" s="3" t="s">
        <v>8</v>
      </c>
      <c r="B13" s="6">
        <v>63.894172150234418</v>
      </c>
      <c r="C13" s="6">
        <v>59.0412952769029</v>
      </c>
      <c r="D13" s="6">
        <v>54.23645918629461</v>
      </c>
      <c r="E13" s="6">
        <v>51.058121511142488</v>
      </c>
      <c r="F13" s="6">
        <v>59.6635203219384</v>
      </c>
      <c r="G13" s="6">
        <v>63.853158590685318</v>
      </c>
      <c r="H13" s="6">
        <v>58.651599821304302</v>
      </c>
      <c r="I13" s="6">
        <v>62.855732310045539</v>
      </c>
      <c r="J13" s="6">
        <v>59.956981621608982</v>
      </c>
    </row>
    <row r="14" spans="1:10" x14ac:dyDescent="0.25">
      <c r="A14" s="3" t="s">
        <v>9</v>
      </c>
      <c r="B14" s="6">
        <v>43.604999999999997</v>
      </c>
      <c r="C14" s="6">
        <v>45.906999999999996</v>
      </c>
      <c r="D14" s="6">
        <v>56.177000000000007</v>
      </c>
      <c r="E14" s="6">
        <v>45.744998340000009</v>
      </c>
      <c r="F14" s="6">
        <v>47.01476216999999</v>
      </c>
      <c r="G14" s="6">
        <v>49.20193398</v>
      </c>
      <c r="H14" s="6">
        <v>51.805290569999997</v>
      </c>
      <c r="I14" s="6">
        <v>44.069000000000003</v>
      </c>
      <c r="J14" s="6">
        <v>43.040575543796855</v>
      </c>
    </row>
    <row r="15" spans="1:10" x14ac:dyDescent="0.25">
      <c r="A15" s="3" t="s">
        <v>10</v>
      </c>
      <c r="B15" s="6">
        <v>39.494</v>
      </c>
      <c r="C15" s="6">
        <v>45.136000000000003</v>
      </c>
      <c r="D15" s="6">
        <v>49.936</v>
      </c>
      <c r="E15" s="6">
        <v>51.308999999999997</v>
      </c>
      <c r="F15" s="6">
        <v>46.030999999999999</v>
      </c>
      <c r="G15" s="6">
        <v>42.500999999999998</v>
      </c>
      <c r="H15" s="6">
        <v>40.661900000000003</v>
      </c>
      <c r="I15" s="6">
        <v>35.843000000000004</v>
      </c>
      <c r="J15" s="6">
        <v>36.503</v>
      </c>
    </row>
    <row r="16" spans="1:10" x14ac:dyDescent="0.25">
      <c r="A16" s="3" t="s">
        <v>11</v>
      </c>
      <c r="B16" s="6">
        <v>20.432825479918087</v>
      </c>
      <c r="C16" s="6">
        <v>20.128011411367829</v>
      </c>
      <c r="D16" s="6">
        <v>20.003790468792559</v>
      </c>
      <c r="E16" s="6">
        <v>18.510786156850415</v>
      </c>
      <c r="F16" s="6">
        <v>18.38754444025826</v>
      </c>
      <c r="G16" s="6">
        <v>17.393405384951087</v>
      </c>
      <c r="H16" s="6">
        <v>21.189263899529301</v>
      </c>
      <c r="I16" s="6">
        <v>34.097393219199539</v>
      </c>
      <c r="J16" s="6">
        <v>34.25291060111293</v>
      </c>
    </row>
    <row r="17" spans="1:10" x14ac:dyDescent="0.25">
      <c r="A17" s="3" t="s">
        <v>12</v>
      </c>
      <c r="B17" s="6">
        <v>0.05</v>
      </c>
      <c r="C17" s="6">
        <v>0.54028409822017509</v>
      </c>
      <c r="D17" s="6">
        <v>4.179110903706218</v>
      </c>
      <c r="E17" s="6">
        <v>26.564407270226098</v>
      </c>
      <c r="F17" s="6">
        <v>36.12950384480957</v>
      </c>
      <c r="G17" s="6">
        <v>31.141907312153492</v>
      </c>
      <c r="H17" s="6">
        <v>37.979403984322659</v>
      </c>
      <c r="I17" s="6">
        <v>35.286758624576272</v>
      </c>
      <c r="J17" s="6">
        <v>31.557892405405731</v>
      </c>
    </row>
    <row r="18" spans="1:10" x14ac:dyDescent="0.25">
      <c r="A18" s="3" t="s">
        <v>13</v>
      </c>
      <c r="B18" s="6">
        <v>11.927999999999999</v>
      </c>
      <c r="C18" s="6">
        <v>13.943</v>
      </c>
      <c r="D18" s="6">
        <v>15.594000000000001</v>
      </c>
      <c r="E18" s="6">
        <v>18.413</v>
      </c>
      <c r="F18" s="6">
        <v>17.3</v>
      </c>
      <c r="G18" s="6">
        <v>18.224000000000004</v>
      </c>
      <c r="H18" s="6">
        <v>24.202999999999999</v>
      </c>
      <c r="I18" s="6">
        <v>24.529</v>
      </c>
      <c r="J18" s="6">
        <v>25.576845015856087</v>
      </c>
    </row>
    <row r="19" spans="1:10" x14ac:dyDescent="0.25">
      <c r="A19" s="3" t="s">
        <v>14</v>
      </c>
      <c r="B19" s="6">
        <v>4.1242988786543586</v>
      </c>
      <c r="C19" s="6">
        <v>3.6364253844314582</v>
      </c>
      <c r="D19" s="6">
        <v>3.8466273408715139</v>
      </c>
      <c r="E19" s="6">
        <v>3.8525244778916026</v>
      </c>
      <c r="F19" s="6">
        <v>8.3882266219195465</v>
      </c>
      <c r="G19" s="6">
        <v>10.293578743287053</v>
      </c>
      <c r="H19" s="6">
        <v>14.389947960643674</v>
      </c>
      <c r="I19" s="6">
        <v>18.152398985868558</v>
      </c>
      <c r="J19" s="6">
        <v>24.067391890814875</v>
      </c>
    </row>
    <row r="20" spans="1:10" x14ac:dyDescent="0.25">
      <c r="A20" s="3" t="s">
        <v>15</v>
      </c>
      <c r="B20" s="6">
        <v>24.9</v>
      </c>
      <c r="C20" s="6">
        <v>25.5</v>
      </c>
      <c r="D20" s="6">
        <v>21</v>
      </c>
      <c r="E20" s="6">
        <v>22.8</v>
      </c>
      <c r="F20" s="6">
        <v>22.7</v>
      </c>
      <c r="G20" s="6">
        <v>22.6</v>
      </c>
      <c r="H20" s="6">
        <v>23</v>
      </c>
      <c r="I20" s="6">
        <v>23</v>
      </c>
      <c r="J20" s="6">
        <v>23</v>
      </c>
    </row>
    <row r="21" spans="1:10" x14ac:dyDescent="0.25">
      <c r="A21" s="3" t="s">
        <v>16</v>
      </c>
      <c r="B21" s="6">
        <v>15.191286379753478</v>
      </c>
      <c r="C21" s="6">
        <v>15.629845396749257</v>
      </c>
      <c r="D21" s="6">
        <v>15.997655622122871</v>
      </c>
      <c r="E21" s="6">
        <v>15.858424844685569</v>
      </c>
      <c r="F21" s="6">
        <v>15.297804169215727</v>
      </c>
      <c r="G21" s="6">
        <v>14.203125187106851</v>
      </c>
      <c r="H21" s="6">
        <v>12.203125187106851</v>
      </c>
      <c r="I21" s="6">
        <v>11.5</v>
      </c>
      <c r="J21" s="6">
        <v>11.5</v>
      </c>
    </row>
    <row r="22" spans="1:10" x14ac:dyDescent="0.25">
      <c r="A22" s="3" t="s">
        <v>17</v>
      </c>
      <c r="B22" s="6">
        <v>22.338897784615654</v>
      </c>
      <c r="C22" s="6">
        <v>26.523780442919644</v>
      </c>
      <c r="D22" s="6">
        <v>22.070953286618249</v>
      </c>
      <c r="E22" s="6">
        <v>22.892577653794547</v>
      </c>
      <c r="F22" s="6">
        <v>21.63970571663549</v>
      </c>
      <c r="G22" s="6">
        <v>20.254752303607347</v>
      </c>
      <c r="H22" s="6">
        <v>18.077109458306722</v>
      </c>
      <c r="I22" s="6">
        <v>14.243728633899991</v>
      </c>
      <c r="J22" s="6">
        <v>12.991005019111299</v>
      </c>
    </row>
    <row r="23" spans="1:10" x14ac:dyDescent="0.25">
      <c r="A23" s="5" t="s">
        <v>4</v>
      </c>
      <c r="B23" s="10">
        <v>502.32910068317602</v>
      </c>
      <c r="C23" s="10">
        <v>517.52949222059124</v>
      </c>
      <c r="D23" s="10">
        <v>532.97836023090804</v>
      </c>
      <c r="E23" s="10">
        <v>548.7455641045907</v>
      </c>
      <c r="F23" s="10">
        <v>554.08706728477694</v>
      </c>
      <c r="G23" s="10">
        <v>555.59812525972018</v>
      </c>
      <c r="H23" s="10">
        <v>564.09024385733642</v>
      </c>
      <c r="I23" s="10">
        <v>566.01550576045076</v>
      </c>
      <c r="J23" s="10">
        <v>557.98210237649539</v>
      </c>
    </row>
    <row r="24" spans="1:10" x14ac:dyDescent="0.25">
      <c r="B24" s="11">
        <v>0</v>
      </c>
      <c r="C24" s="11">
        <f>C23/B23-1</f>
        <v>3.0259826708710413E-2</v>
      </c>
      <c r="D24" s="11">
        <f t="shared" ref="D24:J24" si="7">D23/C23-1</f>
        <v>2.9851183831146599E-2</v>
      </c>
      <c r="E24" s="11">
        <f t="shared" si="7"/>
        <v>2.9583197086747948E-2</v>
      </c>
      <c r="F24" s="11">
        <f t="shared" si="7"/>
        <v>9.7340252561350926E-3</v>
      </c>
      <c r="G24" s="11">
        <f t="shared" si="7"/>
        <v>2.7271128747832218E-3</v>
      </c>
      <c r="H24" s="11">
        <f t="shared" si="7"/>
        <v>1.5284642282848759E-2</v>
      </c>
      <c r="I24" s="11">
        <f t="shared" si="7"/>
        <v>3.4130388250452892E-3</v>
      </c>
      <c r="J24" s="11">
        <f t="shared" si="7"/>
        <v>-1.419290337843726E-2</v>
      </c>
    </row>
    <row r="25" spans="1:10" x14ac:dyDescent="0.25">
      <c r="A25" s="2" t="s">
        <v>18</v>
      </c>
      <c r="B25" s="7"/>
      <c r="C25" s="7"/>
      <c r="D25" s="7"/>
      <c r="E25" s="7"/>
      <c r="F25" s="7"/>
      <c r="G25" s="7"/>
      <c r="H25" s="7"/>
      <c r="I25" s="7"/>
      <c r="J25" s="7"/>
    </row>
    <row r="26" spans="1:10" x14ac:dyDescent="0.25">
      <c r="A26" s="3" t="s">
        <v>19</v>
      </c>
      <c r="B26" s="6">
        <v>5.7580621688199018</v>
      </c>
      <c r="C26" s="6">
        <v>6.5739063543375824</v>
      </c>
      <c r="D26" s="6">
        <v>9.0518155224425989</v>
      </c>
      <c r="E26" s="6">
        <v>8.5226185242350709</v>
      </c>
      <c r="F26" s="6">
        <v>7.6043833037550312</v>
      </c>
      <c r="G26" s="6">
        <v>8.1946723772676151</v>
      </c>
      <c r="H26" s="6">
        <v>8.5930788869902681</v>
      </c>
      <c r="I26" s="6">
        <v>8.844205231109127</v>
      </c>
      <c r="J26" s="6">
        <v>8.3418356359127674</v>
      </c>
    </row>
    <row r="27" spans="1:10" x14ac:dyDescent="0.25">
      <c r="A27" s="3" t="s">
        <v>20</v>
      </c>
      <c r="B27" s="6">
        <v>6.1725380718214726</v>
      </c>
      <c r="C27" s="6">
        <v>5.9238153559231455</v>
      </c>
      <c r="D27" s="6">
        <v>6.1054933248673811</v>
      </c>
      <c r="E27" s="6">
        <v>6.4214682165860717</v>
      </c>
      <c r="F27" s="6">
        <v>6.4848571014539713</v>
      </c>
      <c r="G27" s="6">
        <v>6.3466404958002833</v>
      </c>
      <c r="H27" s="6">
        <v>6.535694526962982</v>
      </c>
      <c r="I27" s="6">
        <v>7.8459121210529554</v>
      </c>
      <c r="J27" s="6">
        <v>7.9434236555377566</v>
      </c>
    </row>
    <row r="28" spans="1:10" x14ac:dyDescent="0.25">
      <c r="A28" s="3" t="s">
        <v>21</v>
      </c>
      <c r="B28" s="6">
        <v>2.5376509447820914</v>
      </c>
      <c r="C28" s="6">
        <v>3.4200254662823228</v>
      </c>
      <c r="D28" s="6">
        <v>4.2521013632858669</v>
      </c>
      <c r="E28" s="6">
        <v>4.4959880247883497</v>
      </c>
      <c r="F28" s="6">
        <v>5.5288876691402535</v>
      </c>
      <c r="G28" s="6">
        <v>5.398810923517142</v>
      </c>
      <c r="H28" s="6">
        <v>5.6528369353545029</v>
      </c>
      <c r="I28" s="6">
        <v>6.6487545150069138</v>
      </c>
      <c r="J28" s="6">
        <v>6.754850110253332</v>
      </c>
    </row>
    <row r="29" spans="1:10" x14ac:dyDescent="0.25">
      <c r="A29" s="3" t="s">
        <v>17</v>
      </c>
      <c r="B29" s="6">
        <v>2.1917117093064467</v>
      </c>
      <c r="C29" s="6">
        <v>2.1080803426465611</v>
      </c>
      <c r="D29" s="6">
        <v>3.4746108429636111</v>
      </c>
      <c r="E29" s="6">
        <v>4.4363666599099538</v>
      </c>
      <c r="F29" s="6">
        <v>3.9102663944324547</v>
      </c>
      <c r="G29" s="6">
        <v>3.5703676045225317</v>
      </c>
      <c r="H29" s="6">
        <v>2.8195185077134655</v>
      </c>
      <c r="I29" s="6">
        <v>3.5897387385719668</v>
      </c>
      <c r="J29" s="6">
        <v>4.8874439385413782</v>
      </c>
    </row>
    <row r="30" spans="1:10" x14ac:dyDescent="0.25">
      <c r="A30" s="5" t="s">
        <v>4</v>
      </c>
      <c r="B30" s="10">
        <v>16.659962894729912</v>
      </c>
      <c r="C30" s="10">
        <v>18.025827519189612</v>
      </c>
      <c r="D30" s="10">
        <v>22.884021053559458</v>
      </c>
      <c r="E30" s="10">
        <v>23.876441425519445</v>
      </c>
      <c r="F30" s="10">
        <v>23.528394468781713</v>
      </c>
      <c r="G30" s="10">
        <v>23.510491401107572</v>
      </c>
      <c r="H30" s="10">
        <v>23.601128857021219</v>
      </c>
      <c r="I30" s="10">
        <v>26.928610605740964</v>
      </c>
      <c r="J30" s="10">
        <v>27.927553340245233</v>
      </c>
    </row>
    <row r="31" spans="1:10" x14ac:dyDescent="0.25">
      <c r="B31" s="11">
        <v>0</v>
      </c>
      <c r="C31" s="11">
        <f>C30/B30-1</f>
        <v>8.1984853933364299E-2</v>
      </c>
      <c r="D31" s="11">
        <f t="shared" ref="D31" si="8">D30/C30-1</f>
        <v>0.26951292689325901</v>
      </c>
      <c r="E31" s="11">
        <f t="shared" ref="E31" si="9">E30/D30-1</f>
        <v>4.3367394639135082E-2</v>
      </c>
      <c r="F31" s="11">
        <f t="shared" ref="F31" si="10">F30/E30-1</f>
        <v>-1.4577002935024286E-2</v>
      </c>
      <c r="G31" s="11">
        <f t="shared" ref="G31" si="11">G30/F30-1</f>
        <v>-7.6091327429483879E-4</v>
      </c>
      <c r="H31" s="11">
        <f t="shared" ref="H31" si="12">H30/G30-1</f>
        <v>3.8551918957072662E-3</v>
      </c>
      <c r="I31" s="11">
        <f t="shared" ref="I31" si="13">I30/H30-1</f>
        <v>0.14098824547241251</v>
      </c>
      <c r="J31" s="11">
        <f t="shared" ref="J31" si="14">J30/I30-1</f>
        <v>3.7095962696690465E-2</v>
      </c>
    </row>
    <row r="32" spans="1:10" x14ac:dyDescent="0.25">
      <c r="A32" s="2" t="s">
        <v>22</v>
      </c>
      <c r="B32" s="7"/>
      <c r="C32" s="7"/>
      <c r="D32" s="7"/>
      <c r="E32" s="7"/>
      <c r="F32" s="7"/>
      <c r="G32" s="7"/>
      <c r="H32" s="7"/>
      <c r="I32" s="7"/>
      <c r="J32" s="7"/>
    </row>
    <row r="33" spans="1:10" x14ac:dyDescent="0.25">
      <c r="A33" s="3" t="s">
        <v>23</v>
      </c>
      <c r="B33" s="6">
        <v>94.293837055942063</v>
      </c>
      <c r="C33" s="6">
        <v>96.782077849814186</v>
      </c>
      <c r="D33" s="6">
        <v>105.95318516909647</v>
      </c>
      <c r="E33" s="6">
        <v>105.81795859044914</v>
      </c>
      <c r="F33" s="6">
        <v>106.32518519709667</v>
      </c>
      <c r="G33" s="6">
        <v>95.404814147864116</v>
      </c>
      <c r="H33" s="6">
        <v>131.49331042914804</v>
      </c>
      <c r="I33" s="6">
        <v>130.19631042914804</v>
      </c>
      <c r="J33" s="6">
        <v>130.52975089322186</v>
      </c>
    </row>
    <row r="34" spans="1:10" x14ac:dyDescent="0.25">
      <c r="A34" s="3" t="s">
        <v>24</v>
      </c>
      <c r="B34" s="6">
        <v>209.96491499999999</v>
      </c>
      <c r="C34" s="6">
        <v>205.33962</v>
      </c>
      <c r="D34" s="6">
        <v>179.77815605000001</v>
      </c>
      <c r="E34" s="6">
        <v>179.54255582499997</v>
      </c>
      <c r="F34" s="6">
        <v>168.63430750000001</v>
      </c>
      <c r="G34" s="6">
        <v>162.03305854262479</v>
      </c>
      <c r="H34" s="6">
        <v>162.64485389495968</v>
      </c>
      <c r="I34" s="6">
        <v>153.99200738217846</v>
      </c>
      <c r="J34" s="6">
        <v>129.77797093824796</v>
      </c>
    </row>
    <row r="35" spans="1:10" x14ac:dyDescent="0.25">
      <c r="A35" s="3" t="s">
        <v>25</v>
      </c>
      <c r="B35" s="6">
        <v>29.328566406248665</v>
      </c>
      <c r="C35" s="6">
        <v>32.631052360929594</v>
      </c>
      <c r="D35" s="6">
        <v>33.866208582960766</v>
      </c>
      <c r="E35" s="6">
        <v>57.555173819133969</v>
      </c>
      <c r="F35" s="6">
        <v>60.882898153812732</v>
      </c>
      <c r="G35" s="6">
        <v>67.753039422101153</v>
      </c>
      <c r="H35" s="6">
        <v>77.474282631784575</v>
      </c>
      <c r="I35" s="6">
        <v>88.034282631784578</v>
      </c>
      <c r="J35" s="6">
        <v>76.59428263178458</v>
      </c>
    </row>
    <row r="36" spans="1:10" x14ac:dyDescent="0.25">
      <c r="A36" s="3" t="s">
        <v>26</v>
      </c>
      <c r="B36" s="6">
        <v>42.728947657303124</v>
      </c>
      <c r="C36" s="6">
        <v>42.648347970576332</v>
      </c>
      <c r="D36" s="6">
        <v>47.612048399805225</v>
      </c>
      <c r="E36" s="6">
        <v>47.365386424769532</v>
      </c>
      <c r="F36" s="6">
        <v>47.400268149290589</v>
      </c>
      <c r="G36" s="6">
        <v>49.422757611199515</v>
      </c>
      <c r="H36" s="6">
        <v>50.088029867548642</v>
      </c>
      <c r="I36" s="6">
        <v>50.444795435079627</v>
      </c>
      <c r="J36" s="6">
        <v>61.182275982576705</v>
      </c>
    </row>
    <row r="37" spans="1:10" x14ac:dyDescent="0.25">
      <c r="A37" s="3" t="s">
        <v>27</v>
      </c>
      <c r="B37" s="6">
        <v>26.910291944383125</v>
      </c>
      <c r="C37" s="6">
        <v>36.720351629777056</v>
      </c>
      <c r="D37" s="6">
        <v>34.900428245664116</v>
      </c>
      <c r="E37" s="6">
        <v>38.620361822386272</v>
      </c>
      <c r="F37" s="6">
        <v>42.187557321763002</v>
      </c>
      <c r="G37" s="6">
        <v>41.576125183032282</v>
      </c>
      <c r="H37" s="6">
        <v>44.925409726871976</v>
      </c>
      <c r="I37" s="6">
        <v>52.575092018857291</v>
      </c>
      <c r="J37" s="6">
        <v>59.325386187761048</v>
      </c>
    </row>
    <row r="38" spans="1:10" x14ac:dyDescent="0.25">
      <c r="A38" s="3" t="s">
        <v>28</v>
      </c>
      <c r="B38" s="6">
        <v>47.453077700417154</v>
      </c>
      <c r="C38" s="6">
        <v>54.399331696559848</v>
      </c>
      <c r="D38" s="6">
        <v>56.314594906862737</v>
      </c>
      <c r="E38" s="6">
        <v>51.993817888585923</v>
      </c>
      <c r="F38" s="6">
        <v>51.790895060696407</v>
      </c>
      <c r="G38" s="6">
        <v>53.203478926943745</v>
      </c>
      <c r="H38" s="6">
        <v>55.251004189321478</v>
      </c>
      <c r="I38" s="6">
        <v>54.624525482456626</v>
      </c>
      <c r="J38" s="6">
        <v>47.696690073440763</v>
      </c>
    </row>
    <row r="39" spans="1:10" x14ac:dyDescent="0.25">
      <c r="A39" s="3" t="s">
        <v>29</v>
      </c>
      <c r="B39" s="6">
        <v>18</v>
      </c>
      <c r="C39" s="6">
        <v>21</v>
      </c>
      <c r="D39" s="6">
        <v>24.783341052697779</v>
      </c>
      <c r="E39" s="6">
        <v>25.312224938350575</v>
      </c>
      <c r="F39" s="6">
        <v>35.874592649433623</v>
      </c>
      <c r="G39" s="6">
        <v>39.694644046684203</v>
      </c>
      <c r="H39" s="6">
        <v>35.736999999999995</v>
      </c>
      <c r="I39" s="6">
        <v>36.588340000000002</v>
      </c>
      <c r="J39" s="6">
        <v>44.914973717095286</v>
      </c>
    </row>
    <row r="40" spans="1:10" x14ac:dyDescent="0.25">
      <c r="A40" s="3" t="s">
        <v>30</v>
      </c>
      <c r="B40" s="6">
        <v>17.119</v>
      </c>
      <c r="C40" s="6">
        <v>18.994</v>
      </c>
      <c r="D40" s="6">
        <v>22.742000000000001</v>
      </c>
      <c r="E40" s="6">
        <v>23</v>
      </c>
      <c r="F40" s="6">
        <v>24.349952857892145</v>
      </c>
      <c r="G40" s="6">
        <v>26.54696487218245</v>
      </c>
      <c r="H40" s="6">
        <v>30.793964872182446</v>
      </c>
      <c r="I40" s="6">
        <v>33.288334365145673</v>
      </c>
      <c r="J40" s="6">
        <v>42.227178108421143</v>
      </c>
    </row>
    <row r="41" spans="1:10" x14ac:dyDescent="0.25">
      <c r="A41" s="3" t="s">
        <v>31</v>
      </c>
      <c r="B41" s="6">
        <v>7.7637541516430399</v>
      </c>
      <c r="C41" s="6">
        <v>13.201687415250598</v>
      </c>
      <c r="D41" s="6">
        <v>13.010704648882033</v>
      </c>
      <c r="E41" s="6">
        <v>14.462612867128717</v>
      </c>
      <c r="F41" s="6">
        <v>23.380871430452299</v>
      </c>
      <c r="G41" s="6">
        <v>28.245221674009624</v>
      </c>
      <c r="H41" s="6">
        <v>32.596597646704751</v>
      </c>
      <c r="I41" s="6">
        <v>36.660795221958608</v>
      </c>
      <c r="J41" s="6">
        <v>40.889436876847682</v>
      </c>
    </row>
    <row r="42" spans="1:10" x14ac:dyDescent="0.25">
      <c r="A42" s="3" t="s">
        <v>32</v>
      </c>
      <c r="B42" s="6">
        <v>25.830243713005704</v>
      </c>
      <c r="C42" s="6">
        <v>25.685623781939313</v>
      </c>
      <c r="D42" s="6">
        <v>24.320806496346727</v>
      </c>
      <c r="E42" s="6">
        <v>21.936468707865483</v>
      </c>
      <c r="F42" s="6">
        <v>26.053569548477363</v>
      </c>
      <c r="G42" s="6">
        <v>25.993656383784796</v>
      </c>
      <c r="H42" s="6">
        <v>26.572950762232679</v>
      </c>
      <c r="I42" s="6">
        <v>30.314006825409063</v>
      </c>
      <c r="J42" s="6">
        <v>27.290562300154328</v>
      </c>
    </row>
    <row r="43" spans="1:10" x14ac:dyDescent="0.25">
      <c r="A43" s="3" t="s">
        <v>33</v>
      </c>
      <c r="B43" s="6">
        <v>5.3793018906891019</v>
      </c>
      <c r="C43" s="6">
        <v>4.8388310074707439</v>
      </c>
      <c r="D43" s="6">
        <v>7.4157860235720179</v>
      </c>
      <c r="E43" s="6">
        <v>8.2032870729255514</v>
      </c>
      <c r="F43" s="6">
        <v>8.5878407117570212</v>
      </c>
      <c r="G43" s="6">
        <v>8.6696349854639454</v>
      </c>
      <c r="H43" s="6">
        <v>10.246623958690602</v>
      </c>
      <c r="I43" s="6">
        <v>12.261230975442032</v>
      </c>
      <c r="J43" s="6">
        <v>17.508511855105574</v>
      </c>
    </row>
    <row r="44" spans="1:10" x14ac:dyDescent="0.25">
      <c r="A44" s="3" t="s">
        <v>34</v>
      </c>
      <c r="B44" s="6">
        <v>4.6745103620765009</v>
      </c>
      <c r="C44" s="6">
        <v>6.3046435592927281</v>
      </c>
      <c r="D44" s="6">
        <v>8.1748644907068577</v>
      </c>
      <c r="E44" s="6">
        <v>11.102168170462726</v>
      </c>
      <c r="F44" s="6">
        <v>11.734128603606006</v>
      </c>
      <c r="G44" s="6">
        <v>13.656665582295799</v>
      </c>
      <c r="H44" s="6">
        <v>17.139135212006117</v>
      </c>
      <c r="I44" s="6">
        <v>16.940757239637385</v>
      </c>
      <c r="J44" s="6">
        <v>14.693873209229011</v>
      </c>
    </row>
    <row r="45" spans="1:10" x14ac:dyDescent="0.25">
      <c r="A45" s="3" t="s">
        <v>35</v>
      </c>
      <c r="B45" s="6">
        <v>5</v>
      </c>
      <c r="C45" s="6">
        <v>6</v>
      </c>
      <c r="D45" s="6">
        <v>8</v>
      </c>
      <c r="E45" s="6">
        <v>8</v>
      </c>
      <c r="F45" s="6">
        <v>8</v>
      </c>
      <c r="G45" s="6">
        <v>8</v>
      </c>
      <c r="H45" s="6">
        <v>10</v>
      </c>
      <c r="I45" s="6">
        <v>12</v>
      </c>
      <c r="J45" s="6">
        <v>14</v>
      </c>
    </row>
    <row r="46" spans="1:10" x14ac:dyDescent="0.25">
      <c r="A46" s="3" t="s">
        <v>36</v>
      </c>
      <c r="B46" s="6">
        <v>0.25</v>
      </c>
      <c r="C46" s="6">
        <v>0.25</v>
      </c>
      <c r="D46" s="6">
        <v>0.91600000000000004</v>
      </c>
      <c r="E46" s="6">
        <v>1.387</v>
      </c>
      <c r="F46" s="6">
        <v>5.0120000000000005</v>
      </c>
      <c r="G46" s="6">
        <v>7.3010000000000002</v>
      </c>
      <c r="H46" s="6">
        <v>9.25</v>
      </c>
      <c r="I46" s="6">
        <v>11.25</v>
      </c>
      <c r="J46" s="6">
        <v>11.25</v>
      </c>
    </row>
    <row r="47" spans="1:10" x14ac:dyDescent="0.25">
      <c r="A47" s="3" t="s">
        <v>37</v>
      </c>
      <c r="B47" s="6">
        <v>8.1063575481029009</v>
      </c>
      <c r="C47" s="6">
        <v>10.249146792320133</v>
      </c>
      <c r="D47" s="6">
        <v>11.261006236468361</v>
      </c>
      <c r="E47" s="6">
        <v>11.433041906027547</v>
      </c>
      <c r="F47" s="6">
        <v>12.026461282399316</v>
      </c>
      <c r="G47" s="6">
        <v>12.63877503670628</v>
      </c>
      <c r="H47" s="6">
        <v>11.173999999999999</v>
      </c>
      <c r="I47" s="6">
        <v>11</v>
      </c>
      <c r="J47" s="6">
        <v>11</v>
      </c>
    </row>
    <row r="48" spans="1:10" x14ac:dyDescent="0.25">
      <c r="A48" s="7" t="s">
        <v>17</v>
      </c>
      <c r="B48" s="6">
        <v>39.142116942508892</v>
      </c>
      <c r="C48" s="6">
        <v>50.164544786196871</v>
      </c>
      <c r="D48" s="6">
        <v>49.903159930394622</v>
      </c>
      <c r="E48" s="6">
        <v>50.099761895159986</v>
      </c>
      <c r="F48" s="6">
        <v>50.17121368589801</v>
      </c>
      <c r="G48" s="6">
        <v>58.312953245483527</v>
      </c>
      <c r="H48" s="6">
        <v>74.466788266626509</v>
      </c>
      <c r="I48" s="6">
        <v>82.420094865435772</v>
      </c>
      <c r="J48" s="6">
        <v>92.154509886004234</v>
      </c>
    </row>
    <row r="49" spans="1:10" x14ac:dyDescent="0.25">
      <c r="A49" s="5" t="s">
        <v>4</v>
      </c>
      <c r="B49" s="10">
        <v>581.94492037232033</v>
      </c>
      <c r="C49" s="10">
        <v>625.2092588501273</v>
      </c>
      <c r="D49" s="10">
        <v>628.95229023345769</v>
      </c>
      <c r="E49" s="10">
        <v>655.83181992824552</v>
      </c>
      <c r="F49" s="10">
        <v>682.41174215257513</v>
      </c>
      <c r="G49" s="10">
        <v>698.45278966037631</v>
      </c>
      <c r="H49" s="10">
        <v>779.8539514580774</v>
      </c>
      <c r="I49" s="10">
        <v>812.59057287253324</v>
      </c>
      <c r="J49" s="10">
        <v>821.03540265989022</v>
      </c>
    </row>
    <row r="50" spans="1:10" x14ac:dyDescent="0.25">
      <c r="B50" s="11">
        <v>0</v>
      </c>
      <c r="C50" s="11">
        <f>C49/B49-1</f>
        <v>7.4344387180365956E-2</v>
      </c>
      <c r="D50" s="11">
        <f t="shared" ref="D50" si="15">D49/C49-1</f>
        <v>5.9868457326024416E-3</v>
      </c>
      <c r="E50" s="11">
        <f t="shared" ref="E50" si="16">E49/D49-1</f>
        <v>4.2736993110893184E-2</v>
      </c>
      <c r="F50" s="11">
        <f t="shared" ref="F50" si="17">F49/E49-1</f>
        <v>4.0528564514051402E-2</v>
      </c>
      <c r="G50" s="11">
        <f t="shared" ref="G50" si="18">G49/F49-1</f>
        <v>2.3506406055092022E-2</v>
      </c>
      <c r="H50" s="11">
        <f t="shared" ref="H50" si="19">H49/G49-1</f>
        <v>0.11654497340798442</v>
      </c>
      <c r="I50" s="11">
        <f t="shared" ref="I50" si="20">I49/H49-1</f>
        <v>4.1977887466299046E-2</v>
      </c>
      <c r="J50" s="11">
        <f t="shared" ref="J50" si="21">J49/I49-1</f>
        <v>1.0392478167084995E-2</v>
      </c>
    </row>
    <row r="51" spans="1:10" x14ac:dyDescent="0.25">
      <c r="A51" s="2" t="s">
        <v>38</v>
      </c>
      <c r="B51" s="7"/>
      <c r="C51" s="7"/>
      <c r="D51" s="7"/>
      <c r="E51" s="7"/>
      <c r="F51" s="7"/>
      <c r="G51" s="7"/>
      <c r="H51" s="7"/>
      <c r="I51" s="7"/>
      <c r="J51" s="7"/>
    </row>
    <row r="52" spans="1:10" x14ac:dyDescent="0.25">
      <c r="A52" s="3" t="s">
        <v>39</v>
      </c>
      <c r="B52" s="6">
        <v>203.07169999999996</v>
      </c>
      <c r="C52" s="6">
        <v>211.596</v>
      </c>
      <c r="D52" s="6">
        <v>233.4</v>
      </c>
      <c r="E52" s="6">
        <v>248.49700000000001</v>
      </c>
      <c r="F52" s="6">
        <v>252.7</v>
      </c>
      <c r="G52" s="6">
        <v>255.29399999999998</v>
      </c>
      <c r="H52" s="6">
        <v>262.36099999999999</v>
      </c>
      <c r="I52" s="6">
        <v>280.68</v>
      </c>
      <c r="J52" s="6">
        <v>297.30599999999998</v>
      </c>
    </row>
    <row r="53" spans="1:10" x14ac:dyDescent="0.25">
      <c r="A53" s="3" t="s">
        <v>40</v>
      </c>
      <c r="B53" s="6">
        <v>70.994652973901964</v>
      </c>
      <c r="C53" s="6">
        <v>70.625642135608544</v>
      </c>
      <c r="D53" s="6">
        <v>80.010407218328709</v>
      </c>
      <c r="E53" s="6">
        <v>81.010418224497244</v>
      </c>
      <c r="F53" s="6">
        <v>83.454637175304185</v>
      </c>
      <c r="G53" s="6">
        <v>85.540550675230037</v>
      </c>
      <c r="H53" s="6">
        <v>86.700525673633649</v>
      </c>
      <c r="I53" s="6">
        <v>88.970470048487513</v>
      </c>
      <c r="J53" s="6">
        <v>92.470470048487513</v>
      </c>
    </row>
    <row r="54" spans="1:10" x14ac:dyDescent="0.25">
      <c r="A54" s="3" t="s">
        <v>41</v>
      </c>
      <c r="B54" s="6">
        <v>30.271999999999998</v>
      </c>
      <c r="C54" s="6">
        <v>36.846000000000004</v>
      </c>
      <c r="D54" s="6">
        <v>40.006</v>
      </c>
      <c r="E54" s="6">
        <v>42.39</v>
      </c>
      <c r="F54" s="6">
        <v>46.207000000000001</v>
      </c>
      <c r="G54" s="6">
        <v>50.964206545216506</v>
      </c>
      <c r="H54" s="6">
        <v>52.59173685454337</v>
      </c>
      <c r="I54" s="6">
        <v>56.028999999999996</v>
      </c>
      <c r="J54" s="6">
        <v>68.429000000000002</v>
      </c>
    </row>
    <row r="55" spans="1:10" x14ac:dyDescent="0.25">
      <c r="A55" s="3" t="s">
        <v>42</v>
      </c>
      <c r="B55" s="6">
        <v>18.96061609703812</v>
      </c>
      <c r="C55" s="6">
        <v>19.688178873417776</v>
      </c>
      <c r="D55" s="6">
        <v>11.347698782710804</v>
      </c>
      <c r="E55" s="6">
        <v>20.218337628360548</v>
      </c>
      <c r="F55" s="6">
        <v>19.206417127726457</v>
      </c>
      <c r="G55" s="6">
        <v>18.13443581419741</v>
      </c>
      <c r="H55" s="6">
        <v>19.825577318623424</v>
      </c>
      <c r="I55" s="6">
        <v>22.038304712163878</v>
      </c>
      <c r="J55" s="6">
        <v>22.111856526841684</v>
      </c>
    </row>
    <row r="56" spans="1:10" x14ac:dyDescent="0.25">
      <c r="A56" s="3" t="s">
        <v>17</v>
      </c>
      <c r="B56" s="6">
        <v>9.5963806989723821</v>
      </c>
      <c r="C56" s="6">
        <v>9.0249363233991744</v>
      </c>
      <c r="D56" s="6">
        <v>8.2007647132731449</v>
      </c>
      <c r="E56" s="6">
        <v>8.6776673156757624</v>
      </c>
      <c r="F56" s="6">
        <v>9.1170432828712364</v>
      </c>
      <c r="G56" s="6">
        <v>11.892691370750128</v>
      </c>
      <c r="H56" s="6">
        <v>12.596840594600508</v>
      </c>
      <c r="I56" s="6">
        <v>18.725879890131296</v>
      </c>
      <c r="J56" s="6">
        <v>18.222558399902766</v>
      </c>
    </row>
    <row r="57" spans="1:10" x14ac:dyDescent="0.25">
      <c r="A57" s="5" t="s">
        <v>4</v>
      </c>
      <c r="B57" s="10">
        <v>332.8953497699124</v>
      </c>
      <c r="C57" s="10">
        <v>347.78075733242548</v>
      </c>
      <c r="D57" s="10">
        <v>372.96487071431261</v>
      </c>
      <c r="E57" s="10">
        <v>400.79342316853354</v>
      </c>
      <c r="F57" s="10">
        <v>410.68509758590187</v>
      </c>
      <c r="G57" s="10">
        <v>421.82588440539405</v>
      </c>
      <c r="H57" s="10">
        <v>434.07568044140095</v>
      </c>
      <c r="I57" s="10">
        <v>466.44365465078272</v>
      </c>
      <c r="J57" s="10">
        <v>498.53988497523198</v>
      </c>
    </row>
    <row r="58" spans="1:10" x14ac:dyDescent="0.25">
      <c r="B58" s="11">
        <v>0</v>
      </c>
      <c r="C58" s="11">
        <f>C57/B57-1</f>
        <v>4.4714975961068326E-2</v>
      </c>
      <c r="D58" s="11">
        <f t="shared" ref="D58" si="22">D57/C57-1</f>
        <v>7.2413763127828767E-2</v>
      </c>
      <c r="E58" s="11">
        <f t="shared" ref="E58" si="23">E57/D57-1</f>
        <v>7.4614406447778725E-2</v>
      </c>
      <c r="F58" s="11">
        <f t="shared" ref="F58" si="24">F57/E57-1</f>
        <v>2.4680231374976547E-2</v>
      </c>
      <c r="G58" s="11">
        <f t="shared" ref="G58" si="25">G57/F57-1</f>
        <v>2.7127321845813679E-2</v>
      </c>
      <c r="H58" s="11">
        <f t="shared" ref="H58" si="26">H57/G57-1</f>
        <v>2.9039934458441774E-2</v>
      </c>
      <c r="I58" s="11">
        <f t="shared" ref="I58" si="27">I57/H57-1</f>
        <v>7.4567582723057857E-2</v>
      </c>
      <c r="J58" s="11">
        <f t="shared" ref="J58" si="28">J57/I57-1</f>
        <v>6.881051977967001E-2</v>
      </c>
    </row>
    <row r="59" spans="1:10" x14ac:dyDescent="0.25">
      <c r="A59" s="2" t="s">
        <v>43</v>
      </c>
      <c r="B59" s="7"/>
      <c r="C59" s="7"/>
      <c r="D59" s="7"/>
      <c r="E59" s="7"/>
      <c r="F59" s="7"/>
      <c r="G59" s="7"/>
      <c r="H59" s="7"/>
      <c r="I59" s="7"/>
      <c r="J59" s="7"/>
    </row>
    <row r="60" spans="1:10" x14ac:dyDescent="0.25">
      <c r="A60" s="3" t="s">
        <v>44</v>
      </c>
      <c r="B60" s="6">
        <v>351.12624200000005</v>
      </c>
      <c r="C60" s="6">
        <v>371.20674699999995</v>
      </c>
      <c r="D60" s="6">
        <v>413.29666100000003</v>
      </c>
      <c r="E60" s="6">
        <v>438.41305299999999</v>
      </c>
      <c r="F60" s="6">
        <v>462.04915500000004</v>
      </c>
      <c r="G60" s="6">
        <v>460.30296299999998</v>
      </c>
      <c r="H60" s="6">
        <v>463.73647594199997</v>
      </c>
      <c r="I60" s="6">
        <v>429.43</v>
      </c>
      <c r="J60" s="6">
        <v>404.11940399999997</v>
      </c>
    </row>
    <row r="61" spans="1:10" x14ac:dyDescent="0.25">
      <c r="A61" s="3" t="s">
        <v>45</v>
      </c>
      <c r="B61" s="6">
        <v>134.59668530785922</v>
      </c>
      <c r="C61" s="6">
        <v>108.50780666540199</v>
      </c>
      <c r="D61" s="6">
        <v>82.611645977853897</v>
      </c>
      <c r="E61" s="6">
        <v>91.04426337868685</v>
      </c>
      <c r="F61" s="6">
        <v>93.466045911598712</v>
      </c>
      <c r="G61" s="6">
        <v>113.16722405055302</v>
      </c>
      <c r="H61" s="6">
        <v>108.84142696539</v>
      </c>
      <c r="I61" s="6">
        <v>114.078899053821</v>
      </c>
      <c r="J61" s="6">
        <v>136.8863901117588</v>
      </c>
    </row>
    <row r="62" spans="1:10" x14ac:dyDescent="0.25">
      <c r="A62" s="3" t="s">
        <v>46</v>
      </c>
      <c r="B62" s="6">
        <v>40.847000000000001</v>
      </c>
      <c r="C62" s="6">
        <v>38.120000000000005</v>
      </c>
      <c r="D62" s="6">
        <v>38.762</v>
      </c>
      <c r="E62" s="6">
        <v>39.747999999999998</v>
      </c>
      <c r="F62" s="6">
        <v>40.423000000000002</v>
      </c>
      <c r="G62" s="6">
        <v>40.643000000000001</v>
      </c>
      <c r="H62" s="6">
        <v>40.173999999999999</v>
      </c>
      <c r="I62" s="6">
        <v>38.748999999999995</v>
      </c>
      <c r="J62" s="6">
        <v>36.765000000000001</v>
      </c>
    </row>
    <row r="63" spans="1:10" x14ac:dyDescent="0.25">
      <c r="A63" s="3" t="s">
        <v>47</v>
      </c>
      <c r="B63" s="6">
        <v>16.581123999999999</v>
      </c>
      <c r="C63" s="6">
        <v>24.116708999999997</v>
      </c>
      <c r="D63" s="6">
        <v>29.520099999999999</v>
      </c>
      <c r="E63" s="6">
        <v>33.649194000000001</v>
      </c>
      <c r="F63" s="6">
        <v>31.379435153919392</v>
      </c>
      <c r="G63" s="6">
        <v>28.369835153919389</v>
      </c>
      <c r="H63" s="6">
        <v>24.566385153919391</v>
      </c>
      <c r="I63" s="6">
        <v>23.205455153919388</v>
      </c>
      <c r="J63" s="6">
        <v>24.896605153919388</v>
      </c>
    </row>
    <row r="64" spans="1:10" x14ac:dyDescent="0.25">
      <c r="A64" s="3" t="s">
        <v>48</v>
      </c>
      <c r="B64" s="6">
        <v>13.956862609231692</v>
      </c>
      <c r="C64" s="6">
        <v>13.342100523723504</v>
      </c>
      <c r="D64" s="6">
        <v>14.001601801611287</v>
      </c>
      <c r="E64" s="6">
        <v>19.692480675487882</v>
      </c>
      <c r="F64" s="6">
        <v>31.984084679742214</v>
      </c>
      <c r="G64" s="6">
        <v>32.834230904309749</v>
      </c>
      <c r="H64" s="6">
        <v>21.328076521370342</v>
      </c>
      <c r="I64" s="6">
        <v>19.849</v>
      </c>
      <c r="J64" s="6">
        <v>22.581899999999997</v>
      </c>
    </row>
    <row r="65" spans="1:22" x14ac:dyDescent="0.25">
      <c r="A65" s="3" t="s">
        <v>49</v>
      </c>
      <c r="B65" s="6">
        <v>5</v>
      </c>
      <c r="C65" s="6">
        <v>6</v>
      </c>
      <c r="D65" s="6">
        <v>6</v>
      </c>
      <c r="E65" s="6">
        <v>7</v>
      </c>
      <c r="F65" s="6">
        <v>10</v>
      </c>
      <c r="G65" s="6">
        <v>11</v>
      </c>
      <c r="H65" s="6">
        <v>11</v>
      </c>
      <c r="I65" s="6">
        <v>11</v>
      </c>
      <c r="J65" s="6">
        <v>11</v>
      </c>
    </row>
    <row r="66" spans="1:22" x14ac:dyDescent="0.25">
      <c r="A66" s="7" t="s">
        <v>17</v>
      </c>
      <c r="B66" s="6">
        <v>45.113767196265712</v>
      </c>
      <c r="C66" s="6">
        <v>43.463609797608001</v>
      </c>
      <c r="D66" s="6">
        <v>45.977037229311122</v>
      </c>
      <c r="E66" s="6">
        <v>45.375928150294044</v>
      </c>
      <c r="F66" s="6">
        <v>43.076504778613753</v>
      </c>
      <c r="G66" s="6">
        <v>44.455230061753014</v>
      </c>
      <c r="H66" s="6">
        <v>43.673007604887971</v>
      </c>
      <c r="I66" s="6">
        <v>38.957646404942011</v>
      </c>
      <c r="J66" s="6">
        <v>39.895547935856598</v>
      </c>
    </row>
    <row r="67" spans="1:22" x14ac:dyDescent="0.25">
      <c r="A67" s="5" t="s">
        <v>4</v>
      </c>
      <c r="B67" s="10">
        <v>607.22168111335679</v>
      </c>
      <c r="C67" s="10">
        <v>604.75697298673344</v>
      </c>
      <c r="D67" s="10">
        <v>630.16904600877626</v>
      </c>
      <c r="E67" s="10">
        <v>674.92291920446883</v>
      </c>
      <c r="F67" s="10">
        <v>712.37822552387411</v>
      </c>
      <c r="G67" s="10">
        <v>730.77248317053522</v>
      </c>
      <c r="H67" s="10">
        <v>713.31937218756775</v>
      </c>
      <c r="I67" s="10">
        <v>675.27000061268245</v>
      </c>
      <c r="J67" s="10">
        <v>676.14484720153473</v>
      </c>
    </row>
    <row r="68" spans="1:22" x14ac:dyDescent="0.25">
      <c r="B68" s="11">
        <v>0</v>
      </c>
      <c r="C68" s="11">
        <f>C67/B67-1</f>
        <v>-4.0589922976799198E-3</v>
      </c>
      <c r="D68" s="11">
        <f t="shared" ref="D68" si="29">D67/C67-1</f>
        <v>4.2020305936348867E-2</v>
      </c>
      <c r="E68" s="11">
        <f t="shared" ref="E68" si="30">E67/D67-1</f>
        <v>7.1018837689893921E-2</v>
      </c>
      <c r="F68" s="11">
        <f t="shared" ref="F68" si="31">F67/E67-1</f>
        <v>5.5495679956392374E-2</v>
      </c>
      <c r="G68" s="11">
        <f t="shared" ref="G68" si="32">G67/F67-1</f>
        <v>2.5820915052722437E-2</v>
      </c>
      <c r="H68" s="11">
        <f t="shared" ref="H68" si="33">H67/G67-1</f>
        <v>-2.3883098207591602E-2</v>
      </c>
      <c r="I68" s="11">
        <f t="shared" ref="I68" si="34">I67/H67-1</f>
        <v>-5.3341284505140529E-2</v>
      </c>
      <c r="J68" s="11">
        <f t="shared" ref="J68" si="35">J67/I67-1</f>
        <v>1.2955507990264348E-3</v>
      </c>
    </row>
    <row r="69" spans="1:22" x14ac:dyDescent="0.25">
      <c r="A69" s="2" t="s">
        <v>50</v>
      </c>
      <c r="B69" s="11"/>
      <c r="C69" s="11"/>
      <c r="D69" s="11"/>
      <c r="E69" s="11"/>
      <c r="F69" s="11"/>
      <c r="G69" s="11"/>
      <c r="H69" s="11"/>
      <c r="I69" s="11"/>
      <c r="J69" s="11"/>
    </row>
    <row r="70" spans="1:22" x14ac:dyDescent="0.25">
      <c r="A70" s="3" t="s">
        <v>51</v>
      </c>
      <c r="B70" s="6">
        <v>256.71329595732601</v>
      </c>
      <c r="C70" s="6">
        <v>258.69871888582657</v>
      </c>
      <c r="D70" s="6">
        <v>250.44073621921731</v>
      </c>
      <c r="E70" s="6">
        <v>267.06160968374348</v>
      </c>
      <c r="F70" s="6">
        <v>274.04721678622172</v>
      </c>
      <c r="G70" s="6">
        <v>279.18956789499475</v>
      </c>
      <c r="H70" s="6">
        <v>287.69027679499447</v>
      </c>
      <c r="I70" s="6">
        <v>292.53179422978724</v>
      </c>
      <c r="J70" s="6">
        <v>314.89812664303099</v>
      </c>
    </row>
    <row r="71" spans="1:22" x14ac:dyDescent="0.25">
      <c r="A71" s="3" t="s">
        <v>52</v>
      </c>
      <c r="B71" s="6">
        <v>69.66893731550816</v>
      </c>
      <c r="C71" s="6">
        <v>63.84625864221983</v>
      </c>
      <c r="D71" s="6">
        <v>58.969637296138309</v>
      </c>
      <c r="E71" s="6">
        <v>64.558804753973831</v>
      </c>
      <c r="F71" s="6">
        <v>58.379684988345673</v>
      </c>
      <c r="G71" s="6">
        <v>60.90166765021042</v>
      </c>
      <c r="H71" s="6">
        <v>63.383507341213551</v>
      </c>
      <c r="I71" s="6">
        <v>64.335522546334602</v>
      </c>
      <c r="J71" s="6">
        <v>69.12747963523212</v>
      </c>
    </row>
    <row r="72" spans="1:22" x14ac:dyDescent="0.25">
      <c r="A72" s="3" t="s">
        <v>53</v>
      </c>
      <c r="B72" s="6">
        <v>12.065439845952536</v>
      </c>
      <c r="C72" s="6">
        <v>11.223622979963091</v>
      </c>
      <c r="D72" s="6">
        <v>9.677259837773315</v>
      </c>
      <c r="E72" s="6">
        <v>11.839499761856231</v>
      </c>
      <c r="F72" s="6">
        <v>10.758125198459618</v>
      </c>
      <c r="G72" s="6">
        <v>11.674215888358674</v>
      </c>
      <c r="H72" s="6">
        <v>9.6030976029888198</v>
      </c>
      <c r="I72" s="6">
        <v>9.0388805414070141</v>
      </c>
      <c r="J72" s="6">
        <v>9.2625456400748618</v>
      </c>
    </row>
    <row r="73" spans="1:22" x14ac:dyDescent="0.25">
      <c r="A73" s="7" t="s">
        <v>17</v>
      </c>
      <c r="B73" s="6">
        <v>1.9793210216857915</v>
      </c>
      <c r="C73" s="6">
        <v>3.4331752665031559</v>
      </c>
      <c r="D73" s="6">
        <v>3.5794549159309099</v>
      </c>
      <c r="E73" s="6">
        <v>3.1383143103953444</v>
      </c>
      <c r="F73" s="6">
        <v>1.9941418281820802</v>
      </c>
      <c r="G73" s="6">
        <v>1.5679930982630026</v>
      </c>
      <c r="H73" s="6">
        <v>1.5500152889138121</v>
      </c>
      <c r="I73" s="6">
        <v>1.550015288913869</v>
      </c>
      <c r="J73" s="6">
        <v>1.5500152889137553</v>
      </c>
    </row>
    <row r="74" spans="1:22" x14ac:dyDescent="0.25">
      <c r="A74" s="5" t="s">
        <v>4</v>
      </c>
      <c r="B74" s="10">
        <v>340.42699414047252</v>
      </c>
      <c r="C74" s="10">
        <v>337.20177577451261</v>
      </c>
      <c r="D74" s="10">
        <v>322.66708826905983</v>
      </c>
      <c r="E74" s="10">
        <v>346.59822850996892</v>
      </c>
      <c r="F74" s="10">
        <v>345.17916880120907</v>
      </c>
      <c r="G74" s="10">
        <v>353.33344453182684</v>
      </c>
      <c r="H74" s="10">
        <v>362.22689702811067</v>
      </c>
      <c r="I74" s="10">
        <v>367.4562126064427</v>
      </c>
      <c r="J74" s="10">
        <v>394.83816720725173</v>
      </c>
    </row>
    <row r="75" spans="1:22" x14ac:dyDescent="0.25">
      <c r="B75" s="11">
        <v>0</v>
      </c>
      <c r="C75" s="11">
        <f>C74/B74-1</f>
        <v>-9.4740382562877867E-3</v>
      </c>
      <c r="D75" s="11">
        <f t="shared" ref="D75" si="36">D74/C74-1</f>
        <v>-4.3103828477973782E-2</v>
      </c>
      <c r="E75" s="11">
        <f t="shared" ref="E75" si="37">E74/D74-1</f>
        <v>7.4166660037400023E-2</v>
      </c>
      <c r="F75" s="11">
        <f t="shared" ref="F75" si="38">F74/E74-1</f>
        <v>-4.0942497451887938E-3</v>
      </c>
      <c r="G75" s="11">
        <f t="shared" ref="G75" si="39">G74/F74-1</f>
        <v>2.3623313535799939E-2</v>
      </c>
      <c r="H75" s="11">
        <f t="shared" ref="H75" si="40">H74/G74-1</f>
        <v>2.5170140653024919E-2</v>
      </c>
      <c r="I75" s="11">
        <f t="shared" ref="I75" si="41">I74/H74-1</f>
        <v>1.4436574482005415E-2</v>
      </c>
      <c r="J75" s="11">
        <f t="shared" ref="J75" si="42">J74/I74-1</f>
        <v>7.4517598727160461E-2</v>
      </c>
    </row>
    <row r="76" spans="1:22" x14ac:dyDescent="0.25">
      <c r="A76" s="8" t="s">
        <v>54</v>
      </c>
      <c r="B76" s="12">
        <v>2793.6416790256899</v>
      </c>
      <c r="C76" s="12">
        <v>2880.8377564047023</v>
      </c>
      <c r="D76" s="12">
        <v>2959.0809487597526</v>
      </c>
      <c r="E76" s="12">
        <v>3118.1400550429344</v>
      </c>
      <c r="F76" s="12">
        <v>3202.8645905036133</v>
      </c>
      <c r="G76" s="12">
        <v>3289.5130069884394</v>
      </c>
      <c r="H76" s="12">
        <v>3397.2518062184145</v>
      </c>
      <c r="I76" s="12">
        <v>3441.869153204123</v>
      </c>
      <c r="J76" s="12">
        <v>3502.5903709948898</v>
      </c>
    </row>
    <row r="77" spans="1:22" x14ac:dyDescent="0.25">
      <c r="A77" s="9" t="s">
        <v>57</v>
      </c>
      <c r="B77" s="11">
        <v>0</v>
      </c>
      <c r="C77" s="11">
        <f>C76/B76-1</f>
        <v>3.1212334077655557E-2</v>
      </c>
      <c r="D77" s="11">
        <f t="shared" ref="D77" si="43">D76/C76-1</f>
        <v>2.7159874651427218E-2</v>
      </c>
      <c r="E77" s="11">
        <f t="shared" ref="E77" si="44">E76/D76-1</f>
        <v>5.3752874300329267E-2</v>
      </c>
      <c r="F77" s="11">
        <f t="shared" ref="F77" si="45">F76/E76-1</f>
        <v>2.7171497740665851E-2</v>
      </c>
      <c r="G77" s="11">
        <f t="shared" ref="G77" si="46">G76/F76-1</f>
        <v>2.7053412355219741E-2</v>
      </c>
      <c r="H77" s="11">
        <f t="shared" ref="H77" si="47">H76/G76-1</f>
        <v>3.2752203441995364E-2</v>
      </c>
      <c r="I77" s="11">
        <f t="shared" ref="I77" si="48">I76/H76-1</f>
        <v>1.3133364710864237E-2</v>
      </c>
      <c r="J77" s="11">
        <f t="shared" ref="J77" si="49">J76/I76-1</f>
        <v>1.7641930906710845E-2</v>
      </c>
    </row>
    <row r="78" spans="1:22" x14ac:dyDescent="0.25">
      <c r="U78" s="3" t="s">
        <v>1</v>
      </c>
      <c r="V78" s="3">
        <v>1</v>
      </c>
    </row>
    <row r="80" spans="1:22" x14ac:dyDescent="0.25">
      <c r="B80" s="16">
        <f t="shared" ref="B80:I80" si="50">SUM(B82:B99)</f>
        <v>2793.6416790256935</v>
      </c>
      <c r="C80" s="16">
        <f t="shared" si="50"/>
        <v>2880.8377564047023</v>
      </c>
      <c r="D80" s="16">
        <f t="shared" si="50"/>
        <v>2959.0809487597526</v>
      </c>
      <c r="E80" s="16">
        <f t="shared" si="50"/>
        <v>3118.1400550429335</v>
      </c>
      <c r="F80" s="16">
        <f t="shared" si="50"/>
        <v>3202.8645905036133</v>
      </c>
      <c r="G80" s="16">
        <f t="shared" si="50"/>
        <v>3289.513006988439</v>
      </c>
      <c r="H80" s="16">
        <f t="shared" si="50"/>
        <v>3397.2518062184149</v>
      </c>
      <c r="I80" s="16">
        <f t="shared" si="50"/>
        <v>3441.869153204123</v>
      </c>
      <c r="J80" s="16">
        <f>SUM(J82:J99)</f>
        <v>3502.5903709948952</v>
      </c>
    </row>
    <row r="81" spans="1:11" x14ac:dyDescent="0.25">
      <c r="B81" s="4">
        <v>2010</v>
      </c>
      <c r="C81" s="4">
        <v>2011</v>
      </c>
      <c r="D81" s="4">
        <v>2012</v>
      </c>
      <c r="E81" s="4">
        <v>2013</v>
      </c>
      <c r="F81" s="4">
        <v>2014</v>
      </c>
      <c r="G81" s="4">
        <v>2015</v>
      </c>
      <c r="H81" s="4">
        <v>2016</v>
      </c>
      <c r="I81" s="4">
        <v>2017</v>
      </c>
      <c r="J81" s="4">
        <v>2018</v>
      </c>
    </row>
    <row r="82" spans="1:11" x14ac:dyDescent="0.25">
      <c r="A82" s="3" t="s">
        <v>44</v>
      </c>
      <c r="B82" s="15">
        <f>SUMIF($A$5:$A$74,$A82,B$5:B$74)</f>
        <v>351.12624200000005</v>
      </c>
      <c r="C82" s="15">
        <f>SUMIF($A$5:$A$74,$A82,C$5:C$74)</f>
        <v>371.20674699999995</v>
      </c>
      <c r="D82" s="15">
        <f>SUMIF($A$5:$A$74,$A82,D$5:D$74)</f>
        <v>413.29666100000003</v>
      </c>
      <c r="E82" s="15">
        <f>SUMIF($A$5:$A$74,$A82,E$5:E$74)</f>
        <v>438.41305299999999</v>
      </c>
      <c r="F82" s="15">
        <f>SUMIF($A$5:$A$74,$A82,F$5:F$74)</f>
        <v>462.04915500000004</v>
      </c>
      <c r="G82" s="15">
        <f>SUMIF($A$5:$A$74,$A82,G$5:G$74)</f>
        <v>460.30296299999998</v>
      </c>
      <c r="H82" s="15">
        <f>SUMIF($A$5:$A$74,$A82,H$5:H$74)</f>
        <v>463.73647594199997</v>
      </c>
      <c r="I82" s="15">
        <f>SUMIF($A$5:$A$74,$A82,I$5:I$74)</f>
        <v>429.43</v>
      </c>
      <c r="J82" s="15">
        <f>SUMIF($A$5:$A$74,$A82,J$5:J$74)</f>
        <v>404.11940399999997</v>
      </c>
      <c r="K82" s="3">
        <f>SUM($J$82:J82)/$J$80</f>
        <v>0.11537729542870058</v>
      </c>
    </row>
    <row r="83" spans="1:11" x14ac:dyDescent="0.25">
      <c r="A83" s="3" t="s">
        <v>51</v>
      </c>
      <c r="B83" s="15">
        <f>SUMIF($A$5:$A$74,$A83,B$5:B$74)</f>
        <v>256.71329595732601</v>
      </c>
      <c r="C83" s="15">
        <f>SUMIF($A$5:$A$74,$A83,C$5:C$74)</f>
        <v>258.69871888582657</v>
      </c>
      <c r="D83" s="15">
        <f>SUMIF($A$5:$A$74,$A83,D$5:D$74)</f>
        <v>250.44073621921731</v>
      </c>
      <c r="E83" s="15">
        <f>SUMIF($A$5:$A$74,$A83,E$5:E$74)</f>
        <v>267.06160968374348</v>
      </c>
      <c r="F83" s="15">
        <f>SUMIF($A$5:$A$74,$A83,F$5:F$74)</f>
        <v>274.04721678622172</v>
      </c>
      <c r="G83" s="15">
        <f>SUMIF($A$5:$A$74,$A83,G$5:G$74)</f>
        <v>279.18956789499475</v>
      </c>
      <c r="H83" s="15">
        <f>SUMIF($A$5:$A$74,$A83,H$5:H$74)</f>
        <v>287.69027679499447</v>
      </c>
      <c r="I83" s="15">
        <f>SUMIF($A$5:$A$74,$A83,I$5:I$74)</f>
        <v>292.53179422978724</v>
      </c>
      <c r="J83" s="15">
        <f>SUMIF($A$5:$A$74,$A83,J$5:J$74)</f>
        <v>314.89812664303099</v>
      </c>
      <c r="K83" s="3">
        <f>SUM($J$82:J83)/$J$80</f>
        <v>0.20528165000316531</v>
      </c>
    </row>
    <row r="84" spans="1:11" x14ac:dyDescent="0.25">
      <c r="A84" s="3" t="s">
        <v>39</v>
      </c>
      <c r="B84" s="15">
        <f>SUMIF($A$5:$A$74,$A84,B$5:B$74)</f>
        <v>203.07169999999996</v>
      </c>
      <c r="C84" s="15">
        <f>SUMIF($A$5:$A$74,$A84,C$5:C$74)</f>
        <v>211.596</v>
      </c>
      <c r="D84" s="15">
        <f>SUMIF($A$5:$A$74,$A84,D$5:D$74)</f>
        <v>233.4</v>
      </c>
      <c r="E84" s="15">
        <f>SUMIF($A$5:$A$74,$A84,E$5:E$74)</f>
        <v>248.49700000000001</v>
      </c>
      <c r="F84" s="15">
        <f>SUMIF($A$5:$A$74,$A84,F$5:F$74)</f>
        <v>252.7</v>
      </c>
      <c r="G84" s="15">
        <f>SUMIF($A$5:$A$74,$A84,G$5:G$74)</f>
        <v>255.29399999999998</v>
      </c>
      <c r="H84" s="15">
        <f>SUMIF($A$5:$A$74,$A84,H$5:H$74)</f>
        <v>262.36099999999999</v>
      </c>
      <c r="I84" s="15">
        <f>SUMIF($A$5:$A$74,$A84,I$5:I$74)</f>
        <v>280.68</v>
      </c>
      <c r="J84" s="15">
        <f>SUMIF($A$5:$A$74,$A84,J$5:J$74)</f>
        <v>297.30599999999998</v>
      </c>
      <c r="K84" s="3">
        <f>SUM($J$82:J84)/$J$80</f>
        <v>0.29016339993944223</v>
      </c>
    </row>
    <row r="85" spans="1:11" x14ac:dyDescent="0.25">
      <c r="A85" s="3" t="s">
        <v>1</v>
      </c>
      <c r="B85" s="15">
        <f>SUMIF($A$5:$A$74,$A85,B$5:B$74)</f>
        <v>231.25239048896159</v>
      </c>
      <c r="C85" s="15">
        <f>SUMIF($A$5:$A$74,$A85,C$5:C$74)</f>
        <v>233.92483231909441</v>
      </c>
      <c r="D85" s="15">
        <f>SUMIF($A$5:$A$74,$A85,D$5:D$74)</f>
        <v>234.62266992457921</v>
      </c>
      <c r="E85" s="15">
        <f>SUMIF($A$5:$A$74,$A85,E$5:E$74)</f>
        <v>230.12</v>
      </c>
      <c r="F85" s="15">
        <f>SUMIF($A$5:$A$74,$A85,F$5:F$74)</f>
        <v>209.99999999999997</v>
      </c>
      <c r="G85" s="15">
        <f>SUMIF($A$5:$A$74,$A85,G$5:G$74)</f>
        <v>216.74499999999998</v>
      </c>
      <c r="H85" s="15">
        <f>SUMIF($A$5:$A$74,$A85,H$5:H$74)</f>
        <v>229.10000000000002</v>
      </c>
      <c r="I85" s="15">
        <f>SUMIF($A$5:$A$74,$A85,I$5:I$74)</f>
        <v>236.49570233869792</v>
      </c>
      <c r="J85" s="15">
        <f>SUMIF($A$5:$A$74,$A85,J$5:J$74)</f>
        <v>221.70426378766851</v>
      </c>
      <c r="K85" s="3">
        <f>SUM($J$82:J85)/$J$80</f>
        <v>0.35346062864868871</v>
      </c>
    </row>
    <row r="86" spans="1:11" x14ac:dyDescent="0.25">
      <c r="A86" s="3" t="s">
        <v>2</v>
      </c>
      <c r="B86" s="15">
        <f>SUMIF($A$5:$A$74,$A86,B$5:B$74)</f>
        <v>102.14723099999999</v>
      </c>
      <c r="C86" s="15">
        <f>SUMIF($A$5:$A$74,$A86,C$5:C$74)</f>
        <v>101.97499999999999</v>
      </c>
      <c r="D86" s="15">
        <f>SUMIF($A$5:$A$74,$A86,D$5:D$74)</f>
        <v>106.37299999999999</v>
      </c>
      <c r="E86" s="15">
        <f>SUMIF($A$5:$A$74,$A86,E$5:E$74)</f>
        <v>131.404</v>
      </c>
      <c r="F86" s="15">
        <f>SUMIF($A$5:$A$74,$A86,F$5:F$74)</f>
        <v>151.21173099999999</v>
      </c>
      <c r="G86" s="15">
        <f>SUMIF($A$5:$A$74,$A86,G$5:G$74)</f>
        <v>157.66767200000001</v>
      </c>
      <c r="H86" s="15">
        <f>SUMIF($A$5:$A$74,$A86,H$5:H$74)</f>
        <v>163.13595100000003</v>
      </c>
      <c r="I86" s="15">
        <f>SUMIF($A$5:$A$74,$A86,I$5:I$74)</f>
        <v>171.246768</v>
      </c>
      <c r="J86" s="15">
        <f>SUMIF($A$5:$A$74,$A86,J$5:J$74)</f>
        <v>189.00661728466591</v>
      </c>
      <c r="K86" s="3">
        <f>SUM($J$82:J86)/$J$80</f>
        <v>0.40742258173627727</v>
      </c>
    </row>
    <row r="87" spans="1:11" x14ac:dyDescent="0.25">
      <c r="A87" s="3" t="s">
        <v>6</v>
      </c>
      <c r="B87" s="15">
        <f>SUMIF($A$5:$A$74,$A87,B$5:B$74)</f>
        <v>184.82362000999998</v>
      </c>
      <c r="C87" s="15">
        <f>SUMIF($A$5:$A$74,$A87,C$5:C$74)</f>
        <v>183.83485021000001</v>
      </c>
      <c r="D87" s="15">
        <f>SUMIF($A$5:$A$74,$A87,D$5:D$74)</f>
        <v>189.76376342250205</v>
      </c>
      <c r="E87" s="15">
        <f>SUMIF($A$5:$A$74,$A87,E$5:E$74)</f>
        <v>182.41872384999999</v>
      </c>
      <c r="F87" s="15">
        <f>SUMIF($A$5:$A$74,$A87,F$5:F$74)</f>
        <v>171.09699999999998</v>
      </c>
      <c r="G87" s="15">
        <f>SUMIF($A$5:$A$74,$A87,G$5:G$74)</f>
        <v>170.53126375792903</v>
      </c>
      <c r="H87" s="15">
        <f>SUMIF($A$5:$A$74,$A87,H$5:H$74)</f>
        <v>166.00560297612299</v>
      </c>
      <c r="I87" s="15">
        <f>SUMIF($A$5:$A$74,$A87,I$5:I$74)</f>
        <v>166.59836480952009</v>
      </c>
      <c r="J87" s="15">
        <f>SUMIF($A$5:$A$74,$A87,J$5:J$74)</f>
        <v>158.4302587853951</v>
      </c>
      <c r="K87" s="3">
        <f>SUM($J$82:J87)/$J$80</f>
        <v>0.45265489325559255</v>
      </c>
    </row>
    <row r="88" spans="1:11" x14ac:dyDescent="0.25">
      <c r="A88" s="3" t="s">
        <v>45</v>
      </c>
      <c r="B88" s="15">
        <f>SUMIF($A$5:$A$74,$A88,B$5:B$74)</f>
        <v>134.59668530785922</v>
      </c>
      <c r="C88" s="15">
        <f>SUMIF($A$5:$A$74,$A88,C$5:C$74)</f>
        <v>108.50780666540199</v>
      </c>
      <c r="D88" s="15">
        <f>SUMIF($A$5:$A$74,$A88,D$5:D$74)</f>
        <v>82.611645977853897</v>
      </c>
      <c r="E88" s="15">
        <f>SUMIF($A$5:$A$74,$A88,E$5:E$74)</f>
        <v>91.04426337868685</v>
      </c>
      <c r="F88" s="15">
        <f>SUMIF($A$5:$A$74,$A88,F$5:F$74)</f>
        <v>93.466045911598712</v>
      </c>
      <c r="G88" s="15">
        <f>SUMIF($A$5:$A$74,$A88,G$5:G$74)</f>
        <v>113.16722405055302</v>
      </c>
      <c r="H88" s="15">
        <f>SUMIF($A$5:$A$74,$A88,H$5:H$74)</f>
        <v>108.84142696539</v>
      </c>
      <c r="I88" s="15">
        <f>SUMIF($A$5:$A$74,$A88,I$5:I$74)</f>
        <v>114.078899053821</v>
      </c>
      <c r="J88" s="15">
        <f>SUMIF($A$5:$A$74,$A88,J$5:J$74)</f>
        <v>136.8863901117588</v>
      </c>
      <c r="K88" s="3">
        <f>SUM($J$82:J88)/$J$80</f>
        <v>0.49173636599797232</v>
      </c>
    </row>
    <row r="89" spans="1:11" x14ac:dyDescent="0.25">
      <c r="A89" s="3" t="s">
        <v>23</v>
      </c>
      <c r="B89" s="15">
        <f>SUMIF($A$5:$A$74,$A89,B$5:B$74)</f>
        <v>94.293837055942063</v>
      </c>
      <c r="C89" s="15">
        <f>SUMIF($A$5:$A$74,$A89,C$5:C$74)</f>
        <v>96.782077849814186</v>
      </c>
      <c r="D89" s="15">
        <f>SUMIF($A$5:$A$74,$A89,D$5:D$74)</f>
        <v>105.95318516909647</v>
      </c>
      <c r="E89" s="15">
        <f>SUMIF($A$5:$A$74,$A89,E$5:E$74)</f>
        <v>105.81795859044914</v>
      </c>
      <c r="F89" s="15">
        <f>SUMIF($A$5:$A$74,$A89,F$5:F$74)</f>
        <v>106.32518519709667</v>
      </c>
      <c r="G89" s="15">
        <f>SUMIF($A$5:$A$74,$A89,G$5:G$74)</f>
        <v>95.404814147864116</v>
      </c>
      <c r="H89" s="15">
        <f>SUMIF($A$5:$A$74,$A89,H$5:H$74)</f>
        <v>131.49331042914804</v>
      </c>
      <c r="I89" s="15">
        <f>SUMIF($A$5:$A$74,$A89,I$5:I$74)</f>
        <v>130.19631042914804</v>
      </c>
      <c r="J89" s="15">
        <f>SUMIF($A$5:$A$74,$A89,J$5:J$74)</f>
        <v>130.52975089322186</v>
      </c>
      <c r="K89" s="3">
        <f>SUM($J$82:J89)/$J$80</f>
        <v>0.52900299928005534</v>
      </c>
    </row>
    <row r="90" spans="1:11" x14ac:dyDescent="0.25">
      <c r="A90" s="3" t="s">
        <v>24</v>
      </c>
      <c r="B90" s="15">
        <f>SUMIF($A$5:$A$74,$A90,B$5:B$74)</f>
        <v>209.96491499999999</v>
      </c>
      <c r="C90" s="15">
        <f>SUMIF($A$5:$A$74,$A90,C$5:C$74)</f>
        <v>205.33962</v>
      </c>
      <c r="D90" s="15">
        <f>SUMIF($A$5:$A$74,$A90,D$5:D$74)</f>
        <v>179.77815605000001</v>
      </c>
      <c r="E90" s="15">
        <f>SUMIF($A$5:$A$74,$A90,E$5:E$74)</f>
        <v>179.54255582499997</v>
      </c>
      <c r="F90" s="15">
        <f>SUMIF($A$5:$A$74,$A90,F$5:F$74)</f>
        <v>168.63430750000001</v>
      </c>
      <c r="G90" s="15">
        <f>SUMIF($A$5:$A$74,$A90,G$5:G$74)</f>
        <v>162.03305854262479</v>
      </c>
      <c r="H90" s="15">
        <f>SUMIF($A$5:$A$74,$A90,H$5:H$74)</f>
        <v>162.64485389495968</v>
      </c>
      <c r="I90" s="15">
        <f>SUMIF($A$5:$A$74,$A90,I$5:I$74)</f>
        <v>153.99200738217846</v>
      </c>
      <c r="J90" s="15">
        <f>SUMIF($A$5:$A$74,$A90,J$5:J$74)</f>
        <v>129.77797093824796</v>
      </c>
      <c r="K90" s="3">
        <f>SUM($J$82:J90)/$J$80</f>
        <v>0.56605499714225049</v>
      </c>
    </row>
    <row r="91" spans="1:11" x14ac:dyDescent="0.25">
      <c r="A91" s="3" t="s">
        <v>3</v>
      </c>
      <c r="B91" s="15">
        <f>SUMIF($A$5:$A$74,$A91,B$5:B$74)</f>
        <v>78.764048562764685</v>
      </c>
      <c r="C91" s="15">
        <f>SUMIF($A$5:$A$74,$A91,C$5:C$74)</f>
        <v>94.433839402028212</v>
      </c>
      <c r="D91" s="15">
        <f>SUMIF($A$5:$A$74,$A91,D$5:D$74)</f>
        <v>107.46960232509934</v>
      </c>
      <c r="E91" s="15">
        <f>SUMIF($A$5:$A$74,$A91,E$5:E$74)</f>
        <v>105.84765870160786</v>
      </c>
      <c r="F91" s="15">
        <f>SUMIF($A$5:$A$74,$A91,F$5:F$74)</f>
        <v>113.38316368649483</v>
      </c>
      <c r="G91" s="15">
        <f>SUMIF($A$5:$A$74,$A91,G$5:G$74)</f>
        <v>131.60711655947904</v>
      </c>
      <c r="H91" s="15">
        <f>SUMIF($A$5:$A$74,$A91,H$5:H$74)</f>
        <v>127.84858138890013</v>
      </c>
      <c r="I91" s="15">
        <f>SUMIF($A$5:$A$74,$A91,I$5:I$74)</f>
        <v>119.42212575679234</v>
      </c>
      <c r="J91" s="15">
        <f>SUMIF($A$5:$A$74,$A91,J$5:J$74)</f>
        <v>115.41153216191056</v>
      </c>
      <c r="K91" s="3">
        <f>SUM($J$82:J91)/$J$80</f>
        <v>0.59900533387521204</v>
      </c>
    </row>
    <row r="92" spans="1:11" x14ac:dyDescent="0.25">
      <c r="A92" s="3" t="s">
        <v>7</v>
      </c>
      <c r="B92" s="15">
        <f>SUMIF($A$5:$A$74,$A92,B$5:B$74)</f>
        <v>71.546999999999997</v>
      </c>
      <c r="C92" s="15">
        <f>SUMIF($A$5:$A$74,$A92,C$5:C$74)</f>
        <v>77.709000000000003</v>
      </c>
      <c r="D92" s="15">
        <f>SUMIF($A$5:$A$74,$A92,D$5:D$74)</f>
        <v>80.173000000000016</v>
      </c>
      <c r="E92" s="15">
        <f>SUMIF($A$5:$A$74,$A92,E$5:E$74)</f>
        <v>89.322999999999993</v>
      </c>
      <c r="F92" s="15">
        <f>SUMIF($A$5:$A$74,$A92,F$5:F$74)</f>
        <v>90.438000000000017</v>
      </c>
      <c r="G92" s="15">
        <f>SUMIF($A$5:$A$74,$A92,G$5:G$74)</f>
        <v>95.4</v>
      </c>
      <c r="H92" s="15">
        <f>SUMIF($A$5:$A$74,$A92,H$5:H$74)</f>
        <v>95.923999999999992</v>
      </c>
      <c r="I92" s="15">
        <f>SUMIF($A$5:$A$74,$A92,I$5:I$74)</f>
        <v>95.840129177340728</v>
      </c>
      <c r="J92" s="15">
        <f>SUMIF($A$5:$A$74,$A92,J$5:J$74)</f>
        <v>97.105241493393592</v>
      </c>
      <c r="K92" s="3">
        <f>SUM($J$82:J92)/$J$80</f>
        <v>0.62672917001018413</v>
      </c>
    </row>
    <row r="93" spans="1:11" x14ac:dyDescent="0.25">
      <c r="A93" s="3" t="s">
        <v>40</v>
      </c>
      <c r="B93" s="15">
        <f>SUMIF($A$5:$A$74,$A93,B$5:B$74)</f>
        <v>70.994652973901964</v>
      </c>
      <c r="C93" s="15">
        <f>SUMIF($A$5:$A$74,$A93,C$5:C$74)</f>
        <v>70.625642135608544</v>
      </c>
      <c r="D93" s="15">
        <f>SUMIF($A$5:$A$74,$A93,D$5:D$74)</f>
        <v>80.010407218328709</v>
      </c>
      <c r="E93" s="15">
        <f>SUMIF($A$5:$A$74,$A93,E$5:E$74)</f>
        <v>81.010418224497244</v>
      </c>
      <c r="F93" s="15">
        <f>SUMIF($A$5:$A$74,$A93,F$5:F$74)</f>
        <v>83.454637175304185</v>
      </c>
      <c r="G93" s="15">
        <f>SUMIF($A$5:$A$74,$A93,G$5:G$74)</f>
        <v>85.540550675230037</v>
      </c>
      <c r="H93" s="15">
        <f>SUMIF($A$5:$A$74,$A93,H$5:H$74)</f>
        <v>86.700525673633649</v>
      </c>
      <c r="I93" s="15">
        <f>SUMIF($A$5:$A$74,$A93,I$5:I$74)</f>
        <v>88.970470048487513</v>
      </c>
      <c r="J93" s="15">
        <f>SUMIF($A$5:$A$74,$A93,J$5:J$74)</f>
        <v>92.470470048487513</v>
      </c>
      <c r="K93" s="3">
        <f>SUM($J$82:J93)/$J$80</f>
        <v>0.65312976507098253</v>
      </c>
    </row>
    <row r="94" spans="1:11" x14ac:dyDescent="0.25">
      <c r="A94" s="3" t="s">
        <v>25</v>
      </c>
      <c r="B94" s="15">
        <f>SUMIF($A$5:$A$74,$A94,B$5:B$74)</f>
        <v>29.328566406248665</v>
      </c>
      <c r="C94" s="15">
        <f>SUMIF($A$5:$A$74,$A94,C$5:C$74)</f>
        <v>32.631052360929594</v>
      </c>
      <c r="D94" s="15">
        <f>SUMIF($A$5:$A$74,$A94,D$5:D$74)</f>
        <v>33.866208582960766</v>
      </c>
      <c r="E94" s="15">
        <f>SUMIF($A$5:$A$74,$A94,E$5:E$74)</f>
        <v>57.555173819133969</v>
      </c>
      <c r="F94" s="15">
        <f>SUMIF($A$5:$A$74,$A94,F$5:F$74)</f>
        <v>60.882898153812732</v>
      </c>
      <c r="G94" s="15">
        <f>SUMIF($A$5:$A$74,$A94,G$5:G$74)</f>
        <v>67.753039422101153</v>
      </c>
      <c r="H94" s="15">
        <f>SUMIF($A$5:$A$74,$A94,H$5:H$74)</f>
        <v>77.474282631784575</v>
      </c>
      <c r="I94" s="15">
        <f>SUMIF($A$5:$A$74,$A94,I$5:I$74)</f>
        <v>88.034282631784578</v>
      </c>
      <c r="J94" s="15">
        <f>SUMIF($A$5:$A$74,$A94,J$5:J$74)</f>
        <v>76.59428263178458</v>
      </c>
      <c r="K94" s="3">
        <f>SUM($J$82:J94)/$J$80</f>
        <v>0.67499766126177474</v>
      </c>
    </row>
    <row r="95" spans="1:11" x14ac:dyDescent="0.25">
      <c r="A95" s="3" t="s">
        <v>52</v>
      </c>
      <c r="B95" s="15">
        <f>SUMIF($A$5:$A$74,$A95,B$5:B$74)</f>
        <v>69.66893731550816</v>
      </c>
      <c r="C95" s="15">
        <f>SUMIF($A$5:$A$74,$A95,C$5:C$74)</f>
        <v>63.84625864221983</v>
      </c>
      <c r="D95" s="15">
        <f>SUMIF($A$5:$A$74,$A95,D$5:D$74)</f>
        <v>58.969637296138309</v>
      </c>
      <c r="E95" s="15">
        <f>SUMIF($A$5:$A$74,$A95,E$5:E$74)</f>
        <v>64.558804753973831</v>
      </c>
      <c r="F95" s="15">
        <f>SUMIF($A$5:$A$74,$A95,F$5:F$74)</f>
        <v>58.379684988345673</v>
      </c>
      <c r="G95" s="15">
        <f>SUMIF($A$5:$A$74,$A95,G$5:G$74)</f>
        <v>60.90166765021042</v>
      </c>
      <c r="H95" s="15">
        <f>SUMIF($A$5:$A$74,$A95,H$5:H$74)</f>
        <v>63.383507341213551</v>
      </c>
      <c r="I95" s="15">
        <f>SUMIF($A$5:$A$74,$A95,I$5:I$74)</f>
        <v>64.335522546334602</v>
      </c>
      <c r="J95" s="15">
        <f>SUMIF($A$5:$A$74,$A95,J$5:J$74)</f>
        <v>69.12747963523212</v>
      </c>
      <c r="K95" s="3">
        <f>SUM($J$82:J95)/$J$80</f>
        <v>0.69473376292175748</v>
      </c>
    </row>
    <row r="96" spans="1:11" x14ac:dyDescent="0.25">
      <c r="A96" s="3" t="s">
        <v>41</v>
      </c>
      <c r="B96" s="15">
        <f>SUMIF($A$5:$A$74,$A96,B$5:B$74)</f>
        <v>30.271999999999998</v>
      </c>
      <c r="C96" s="15">
        <f>SUMIF($A$5:$A$74,$A96,C$5:C$74)</f>
        <v>36.846000000000004</v>
      </c>
      <c r="D96" s="15">
        <f>SUMIF($A$5:$A$74,$A96,D$5:D$74)</f>
        <v>40.006</v>
      </c>
      <c r="E96" s="15">
        <f>SUMIF($A$5:$A$74,$A96,E$5:E$74)</f>
        <v>42.39</v>
      </c>
      <c r="F96" s="15">
        <f>SUMIF($A$5:$A$74,$A96,F$5:F$74)</f>
        <v>46.207000000000001</v>
      </c>
      <c r="G96" s="15">
        <f>SUMIF($A$5:$A$74,$A96,G$5:G$74)</f>
        <v>50.964206545216506</v>
      </c>
      <c r="H96" s="15">
        <f>SUMIF($A$5:$A$74,$A96,H$5:H$74)</f>
        <v>52.59173685454337</v>
      </c>
      <c r="I96" s="15">
        <f>SUMIF($A$5:$A$74,$A96,I$5:I$74)</f>
        <v>56.028999999999996</v>
      </c>
      <c r="J96" s="15">
        <f>SUMIF($A$5:$A$74,$A96,J$5:J$74)</f>
        <v>68.429000000000002</v>
      </c>
      <c r="K96" s="3">
        <f>SUM($J$82:J96)/$J$80</f>
        <v>0.71427044656214655</v>
      </c>
    </row>
    <row r="97" spans="1:11" x14ac:dyDescent="0.25">
      <c r="A97" s="3" t="s">
        <v>26</v>
      </c>
      <c r="B97" s="15">
        <f>SUMIF($A$5:$A$74,$A97,B$5:B$74)</f>
        <v>42.728947657303124</v>
      </c>
      <c r="C97" s="15">
        <f>SUMIF($A$5:$A$74,$A97,C$5:C$74)</f>
        <v>42.648347970576332</v>
      </c>
      <c r="D97" s="15">
        <f>SUMIF($A$5:$A$74,$A97,D$5:D$74)</f>
        <v>47.612048399805225</v>
      </c>
      <c r="E97" s="15">
        <f>SUMIF($A$5:$A$74,$A97,E$5:E$74)</f>
        <v>47.365386424769532</v>
      </c>
      <c r="F97" s="15">
        <f>SUMIF($A$5:$A$74,$A97,F$5:F$74)</f>
        <v>47.400268149290589</v>
      </c>
      <c r="G97" s="15">
        <f>SUMIF($A$5:$A$74,$A97,G$5:G$74)</f>
        <v>49.422757611199515</v>
      </c>
      <c r="H97" s="15">
        <f>SUMIF($A$5:$A$74,$A97,H$5:H$74)</f>
        <v>50.088029867548642</v>
      </c>
      <c r="I97" s="15">
        <f>SUMIF($A$5:$A$74,$A97,I$5:I$74)</f>
        <v>50.444795435079627</v>
      </c>
      <c r="J97" s="15">
        <f>SUMIF($A$5:$A$74,$A97,J$5:J$74)</f>
        <v>61.182275982576705</v>
      </c>
      <c r="K97" s="3">
        <f>SUM($J$82:J97)/$J$80</f>
        <v>0.73173816887681686</v>
      </c>
    </row>
    <row r="98" spans="1:11" x14ac:dyDescent="0.25">
      <c r="A98" s="3" t="s">
        <v>8</v>
      </c>
      <c r="B98" s="15">
        <f>SUMIF($A$5:$A$74,$A98,B$5:B$74)</f>
        <v>63.894172150234418</v>
      </c>
      <c r="C98" s="15">
        <f>SUMIF($A$5:$A$74,$A98,C$5:C$74)</f>
        <v>59.0412952769029</v>
      </c>
      <c r="D98" s="15">
        <f>SUMIF($A$5:$A$74,$A98,D$5:D$74)</f>
        <v>54.23645918629461</v>
      </c>
      <c r="E98" s="15">
        <f>SUMIF($A$5:$A$74,$A98,E$5:E$74)</f>
        <v>51.058121511142488</v>
      </c>
      <c r="F98" s="15">
        <f>SUMIF($A$5:$A$74,$A98,F$5:F$74)</f>
        <v>59.6635203219384</v>
      </c>
      <c r="G98" s="15">
        <f>SUMIF($A$5:$A$74,$A98,G$5:G$74)</f>
        <v>63.853158590685318</v>
      </c>
      <c r="H98" s="15">
        <f>SUMIF($A$5:$A$74,$A98,H$5:H$74)</f>
        <v>58.651599821304302</v>
      </c>
      <c r="I98" s="15">
        <f>SUMIF($A$5:$A$74,$A98,I$5:I$74)</f>
        <v>62.855732310045539</v>
      </c>
      <c r="J98" s="15">
        <f>SUMIF($A$5:$A$74,$A98,J$5:J$74)</f>
        <v>59.956981621608982</v>
      </c>
      <c r="K98" s="3">
        <f>SUM($J$82:J98)/$J$80</f>
        <v>0.74885606599607901</v>
      </c>
    </row>
    <row r="99" spans="1:11" ht="13.8" thickBot="1" x14ac:dyDescent="0.3">
      <c r="A99" s="17" t="s">
        <v>17</v>
      </c>
      <c r="B99" s="18">
        <f>SUM(B100:B128)</f>
        <v>568.45343713964405</v>
      </c>
      <c r="C99" s="18">
        <f t="shared" ref="C99:J99" si="51">SUM(C100:C128)</f>
        <v>631.19066768629989</v>
      </c>
      <c r="D99" s="18">
        <f t="shared" si="51"/>
        <v>660.49776798787661</v>
      </c>
      <c r="E99" s="18">
        <f t="shared" si="51"/>
        <v>704.71232727993038</v>
      </c>
      <c r="F99" s="18">
        <f t="shared" si="51"/>
        <v>753.52477663351021</v>
      </c>
      <c r="G99" s="18">
        <f t="shared" si="51"/>
        <v>773.73494654035142</v>
      </c>
      <c r="H99" s="18">
        <f t="shared" si="51"/>
        <v>809.58064463687106</v>
      </c>
      <c r="I99" s="18">
        <f t="shared" si="51"/>
        <v>840.68724905510521</v>
      </c>
      <c r="J99" s="18">
        <f t="shared" si="51"/>
        <v>879.65432497591109</v>
      </c>
      <c r="K99" s="3">
        <f>SUM($J$82:J99)/$J$80</f>
        <v>1</v>
      </c>
    </row>
    <row r="100" spans="1:11" x14ac:dyDescent="0.25">
      <c r="A100" s="3" t="s">
        <v>27</v>
      </c>
      <c r="B100" s="15">
        <v>26.910291944383125</v>
      </c>
      <c r="C100" s="15">
        <v>36.720351629777056</v>
      </c>
      <c r="D100" s="15">
        <v>34.900428245664116</v>
      </c>
      <c r="E100" s="15">
        <v>38.620361822386272</v>
      </c>
      <c r="F100" s="15">
        <v>42.187557321763002</v>
      </c>
      <c r="G100" s="15">
        <v>41.576125183032282</v>
      </c>
      <c r="H100" s="15">
        <v>44.925409726871976</v>
      </c>
      <c r="I100" s="15">
        <v>52.575092018857291</v>
      </c>
      <c r="J100" s="15">
        <v>59.325386187761048</v>
      </c>
      <c r="K100" s="3">
        <v>0.77661660311267244</v>
      </c>
    </row>
    <row r="101" spans="1:11" x14ac:dyDescent="0.25">
      <c r="A101" s="3" t="s">
        <v>28</v>
      </c>
      <c r="B101" s="15">
        <v>47.453077700417154</v>
      </c>
      <c r="C101" s="15">
        <v>54.399331696559848</v>
      </c>
      <c r="D101" s="15">
        <v>56.314594906862737</v>
      </c>
      <c r="E101" s="15">
        <v>51.993817888585923</v>
      </c>
      <c r="F101" s="15">
        <v>51.790895060696407</v>
      </c>
      <c r="G101" s="15">
        <v>53.203478926943745</v>
      </c>
      <c r="H101" s="15">
        <v>55.251004189321478</v>
      </c>
      <c r="I101" s="15">
        <v>54.624525482456626</v>
      </c>
      <c r="J101" s="15">
        <v>47.696690073440763</v>
      </c>
      <c r="K101" s="3">
        <v>0.78960486689942488</v>
      </c>
    </row>
    <row r="102" spans="1:11" x14ac:dyDescent="0.25">
      <c r="A102" s="3" t="s">
        <v>29</v>
      </c>
      <c r="B102" s="15">
        <v>18</v>
      </c>
      <c r="C102" s="15">
        <v>21</v>
      </c>
      <c r="D102" s="15">
        <v>24.783341052697779</v>
      </c>
      <c r="E102" s="15">
        <v>25.312224938350575</v>
      </c>
      <c r="F102" s="15">
        <v>35.874592649433623</v>
      </c>
      <c r="G102" s="15">
        <v>39.694644046684203</v>
      </c>
      <c r="H102" s="15">
        <v>35.736999999999995</v>
      </c>
      <c r="I102" s="15">
        <v>36.588340000000002</v>
      </c>
      <c r="J102" s="15">
        <v>44.914973717095286</v>
      </c>
      <c r="K102" s="3">
        <v>0.80183564278166009</v>
      </c>
    </row>
    <row r="103" spans="1:11" x14ac:dyDescent="0.25">
      <c r="A103" s="3" t="s">
        <v>9</v>
      </c>
      <c r="B103" s="15">
        <v>43.604999999999997</v>
      </c>
      <c r="C103" s="15">
        <v>45.906999999999996</v>
      </c>
      <c r="D103" s="15">
        <v>56.177000000000007</v>
      </c>
      <c r="E103" s="15">
        <v>45.744998340000009</v>
      </c>
      <c r="F103" s="15">
        <v>47.01476216999999</v>
      </c>
      <c r="G103" s="15">
        <v>49.20193398</v>
      </c>
      <c r="H103" s="15">
        <v>51.805290569999997</v>
      </c>
      <c r="I103" s="15">
        <v>44.069000000000003</v>
      </c>
      <c r="J103" s="15">
        <v>43.040575543796855</v>
      </c>
      <c r="K103" s="3">
        <v>0.81355600215745183</v>
      </c>
    </row>
    <row r="104" spans="1:11" x14ac:dyDescent="0.25">
      <c r="A104" s="3" t="s">
        <v>30</v>
      </c>
      <c r="B104" s="15">
        <v>17.119</v>
      </c>
      <c r="C104" s="15">
        <v>18.994</v>
      </c>
      <c r="D104" s="15">
        <v>22.742000000000001</v>
      </c>
      <c r="E104" s="15">
        <v>23</v>
      </c>
      <c r="F104" s="15">
        <v>24.349952857892145</v>
      </c>
      <c r="G104" s="15">
        <v>26.54696487218245</v>
      </c>
      <c r="H104" s="15">
        <v>30.793964872182446</v>
      </c>
      <c r="I104" s="15">
        <v>33.288334365145673</v>
      </c>
      <c r="J104" s="15">
        <v>42.227178108421143</v>
      </c>
      <c r="K104" s="3">
        <v>0.82505486565086972</v>
      </c>
    </row>
    <row r="105" spans="1:11" x14ac:dyDescent="0.25">
      <c r="A105" s="3" t="s">
        <v>31</v>
      </c>
      <c r="B105" s="15">
        <v>7.7637541516430399</v>
      </c>
      <c r="C105" s="15">
        <v>13.201687415250598</v>
      </c>
      <c r="D105" s="15">
        <v>13.010704648882033</v>
      </c>
      <c r="E105" s="15">
        <v>14.462612867128717</v>
      </c>
      <c r="F105" s="15">
        <v>23.380871430452299</v>
      </c>
      <c r="G105" s="15">
        <v>28.245221674009624</v>
      </c>
      <c r="H105" s="15">
        <v>32.596597646704751</v>
      </c>
      <c r="I105" s="15">
        <v>36.660795221958608</v>
      </c>
      <c r="J105" s="15">
        <v>40.889436876847682</v>
      </c>
      <c r="K105" s="3">
        <v>0.83618944944338314</v>
      </c>
    </row>
    <row r="106" spans="1:11" x14ac:dyDescent="0.25">
      <c r="A106" s="3" t="s">
        <v>46</v>
      </c>
      <c r="B106" s="15">
        <v>40.847000000000001</v>
      </c>
      <c r="C106" s="15">
        <v>38.120000000000005</v>
      </c>
      <c r="D106" s="15">
        <v>38.762</v>
      </c>
      <c r="E106" s="15">
        <v>39.747999999999998</v>
      </c>
      <c r="F106" s="15">
        <v>40.423000000000002</v>
      </c>
      <c r="G106" s="15">
        <v>40.643000000000001</v>
      </c>
      <c r="H106" s="15">
        <v>40.173999999999999</v>
      </c>
      <c r="I106" s="15">
        <v>38.748999999999995</v>
      </c>
      <c r="J106" s="15">
        <v>36.765000000000001</v>
      </c>
      <c r="K106" s="3">
        <v>0.84620090972259132</v>
      </c>
    </row>
    <row r="107" spans="1:11" x14ac:dyDescent="0.25">
      <c r="A107" s="3" t="s">
        <v>10</v>
      </c>
      <c r="B107" s="15">
        <v>39.494</v>
      </c>
      <c r="C107" s="15">
        <v>45.136000000000003</v>
      </c>
      <c r="D107" s="15">
        <v>49.936</v>
      </c>
      <c r="E107" s="15">
        <v>51.308999999999997</v>
      </c>
      <c r="F107" s="15">
        <v>46.030999999999999</v>
      </c>
      <c r="G107" s="15">
        <v>42.500999999999998</v>
      </c>
      <c r="H107" s="15">
        <v>40.661900000000003</v>
      </c>
      <c r="I107" s="15">
        <v>35.843000000000004</v>
      </c>
      <c r="J107" s="15">
        <v>36.503</v>
      </c>
      <c r="K107" s="3">
        <v>0.85614102490202659</v>
      </c>
    </row>
    <row r="108" spans="1:11" x14ac:dyDescent="0.25">
      <c r="A108" s="3" t="s">
        <v>11</v>
      </c>
      <c r="B108" s="15">
        <v>20.432825479918087</v>
      </c>
      <c r="C108" s="15">
        <v>20.128011411367829</v>
      </c>
      <c r="D108" s="15">
        <v>20.003790468792559</v>
      </c>
      <c r="E108" s="15">
        <v>18.510786156850415</v>
      </c>
      <c r="F108" s="15">
        <v>18.38754444025826</v>
      </c>
      <c r="G108" s="15">
        <v>17.393405384951087</v>
      </c>
      <c r="H108" s="15">
        <v>21.189263899529301</v>
      </c>
      <c r="I108" s="15">
        <v>34.097393219199539</v>
      </c>
      <c r="J108" s="15">
        <v>34.25291060111293</v>
      </c>
      <c r="K108" s="3">
        <v>0.86546841926977613</v>
      </c>
    </row>
    <row r="109" spans="1:11" x14ac:dyDescent="0.25">
      <c r="A109" s="3" t="s">
        <v>12</v>
      </c>
      <c r="B109" s="15">
        <v>0.05</v>
      </c>
      <c r="C109" s="15">
        <v>0.54028409822017509</v>
      </c>
      <c r="D109" s="15">
        <v>4.179110903706218</v>
      </c>
      <c r="E109" s="15">
        <v>26.564407270226098</v>
      </c>
      <c r="F109" s="15">
        <v>36.12950384480957</v>
      </c>
      <c r="G109" s="15">
        <v>31.141907312153492</v>
      </c>
      <c r="H109" s="15">
        <v>37.979403984322659</v>
      </c>
      <c r="I109" s="15">
        <v>35.286758624576272</v>
      </c>
      <c r="J109" s="15">
        <v>31.557892405405731</v>
      </c>
      <c r="K109" s="3">
        <v>0.87406193446934766</v>
      </c>
    </row>
    <row r="110" spans="1:11" x14ac:dyDescent="0.25">
      <c r="A110" s="3" t="s">
        <v>32</v>
      </c>
      <c r="B110" s="15">
        <v>25.830243713005704</v>
      </c>
      <c r="C110" s="15">
        <v>25.685623781939313</v>
      </c>
      <c r="D110" s="15">
        <v>24.320806496346727</v>
      </c>
      <c r="E110" s="15">
        <v>21.936468707865483</v>
      </c>
      <c r="F110" s="15">
        <v>26.053569548477363</v>
      </c>
      <c r="G110" s="15">
        <v>25.993656383784796</v>
      </c>
      <c r="H110" s="15">
        <v>26.572950762232679</v>
      </c>
      <c r="I110" s="15">
        <v>30.314006825409063</v>
      </c>
      <c r="J110" s="15">
        <v>27.290562300154328</v>
      </c>
      <c r="K110" s="3">
        <v>0.88149341496615852</v>
      </c>
    </row>
    <row r="111" spans="1:11" x14ac:dyDescent="0.25">
      <c r="A111" s="3" t="s">
        <v>13</v>
      </c>
      <c r="B111" s="15">
        <v>11.927999999999999</v>
      </c>
      <c r="C111" s="15">
        <v>13.943</v>
      </c>
      <c r="D111" s="15">
        <v>15.594000000000001</v>
      </c>
      <c r="E111" s="15">
        <v>18.413</v>
      </c>
      <c r="F111" s="15">
        <v>17.3</v>
      </c>
      <c r="G111" s="15">
        <v>18.224000000000004</v>
      </c>
      <c r="H111" s="15">
        <v>24.202999999999999</v>
      </c>
      <c r="I111" s="15">
        <v>24.529</v>
      </c>
      <c r="J111" s="15">
        <v>25.576845015856087</v>
      </c>
      <c r="K111" s="3">
        <v>0.88845823389567602</v>
      </c>
    </row>
    <row r="112" spans="1:11" x14ac:dyDescent="0.25">
      <c r="A112" s="3" t="s">
        <v>47</v>
      </c>
      <c r="B112" s="15">
        <v>16.581123999999999</v>
      </c>
      <c r="C112" s="15">
        <v>24.116708999999997</v>
      </c>
      <c r="D112" s="15">
        <v>29.520099999999999</v>
      </c>
      <c r="E112" s="15">
        <v>33.649194000000001</v>
      </c>
      <c r="F112" s="15">
        <v>31.379435153919392</v>
      </c>
      <c r="G112" s="15">
        <v>28.369835153919389</v>
      </c>
      <c r="H112" s="15">
        <v>24.566385153919391</v>
      </c>
      <c r="I112" s="15">
        <v>23.205455153919388</v>
      </c>
      <c r="J112" s="15">
        <v>24.896605153919388</v>
      </c>
      <c r="K112" s="3">
        <v>0.89523781702053928</v>
      </c>
    </row>
    <row r="113" spans="1:11" x14ac:dyDescent="0.25">
      <c r="A113" s="3" t="s">
        <v>14</v>
      </c>
      <c r="B113" s="15">
        <v>4.1242988786543586</v>
      </c>
      <c r="C113" s="15">
        <v>3.6364253844314582</v>
      </c>
      <c r="D113" s="15">
        <v>3.8466273408715139</v>
      </c>
      <c r="E113" s="15">
        <v>3.8525244778916026</v>
      </c>
      <c r="F113" s="15">
        <v>8.3882266219195465</v>
      </c>
      <c r="G113" s="15">
        <v>10.293578743287053</v>
      </c>
      <c r="H113" s="15">
        <v>14.389947960643674</v>
      </c>
      <c r="I113" s="15">
        <v>18.152398985868558</v>
      </c>
      <c r="J113" s="15">
        <v>24.067391890814875</v>
      </c>
      <c r="K113" s="3">
        <v>0.90179159746223747</v>
      </c>
    </row>
    <row r="114" spans="1:11" x14ac:dyDescent="0.25">
      <c r="A114" s="3" t="s">
        <v>15</v>
      </c>
      <c r="B114" s="15">
        <v>24.9</v>
      </c>
      <c r="C114" s="15">
        <v>25.5</v>
      </c>
      <c r="D114" s="15">
        <v>21</v>
      </c>
      <c r="E114" s="15">
        <v>22.8</v>
      </c>
      <c r="F114" s="15">
        <v>22.7</v>
      </c>
      <c r="G114" s="15">
        <v>22.6</v>
      </c>
      <c r="H114" s="15">
        <v>23</v>
      </c>
      <c r="I114" s="15">
        <v>23</v>
      </c>
      <c r="J114" s="15">
        <v>23</v>
      </c>
      <c r="K114" s="3">
        <v>0.90805471690795458</v>
      </c>
    </row>
    <row r="115" spans="1:11" x14ac:dyDescent="0.25">
      <c r="A115" s="3" t="s">
        <v>48</v>
      </c>
      <c r="B115" s="15">
        <v>13.956862609231692</v>
      </c>
      <c r="C115" s="15">
        <v>13.342100523723504</v>
      </c>
      <c r="D115" s="15">
        <v>14.001601801611287</v>
      </c>
      <c r="E115" s="15">
        <v>19.692480675487882</v>
      </c>
      <c r="F115" s="15">
        <v>31.984084679742214</v>
      </c>
      <c r="G115" s="15">
        <v>32.834230904309749</v>
      </c>
      <c r="H115" s="15">
        <v>21.328076521370342</v>
      </c>
      <c r="I115" s="15">
        <v>19.849</v>
      </c>
      <c r="J115" s="15">
        <v>22.581899999999997</v>
      </c>
      <c r="K115" s="3">
        <v>0.91420398373453016</v>
      </c>
    </row>
    <row r="116" spans="1:11" x14ac:dyDescent="0.25">
      <c r="A116" s="3" t="s">
        <v>42</v>
      </c>
      <c r="B116" s="15">
        <v>18.96061609703812</v>
      </c>
      <c r="C116" s="15">
        <v>19.688178873417776</v>
      </c>
      <c r="D116" s="15">
        <v>11.347698782710804</v>
      </c>
      <c r="E116" s="15">
        <v>20.218337628360548</v>
      </c>
      <c r="F116" s="15">
        <v>19.206417127726457</v>
      </c>
      <c r="G116" s="15">
        <v>18.13443581419741</v>
      </c>
      <c r="H116" s="15">
        <v>19.825577318623424</v>
      </c>
      <c r="I116" s="15">
        <v>22.038304712163878</v>
      </c>
      <c r="J116" s="15">
        <v>22.111856526841684</v>
      </c>
      <c r="K116" s="3">
        <v>0.92022525323862447</v>
      </c>
    </row>
    <row r="117" spans="1:11" x14ac:dyDescent="0.25">
      <c r="A117" s="3" t="s">
        <v>33</v>
      </c>
      <c r="B117" s="15">
        <v>5.3793018906891019</v>
      </c>
      <c r="C117" s="15">
        <v>4.8388310074707439</v>
      </c>
      <c r="D117" s="15">
        <v>7.4157860235720179</v>
      </c>
      <c r="E117" s="15">
        <v>8.2032870729255514</v>
      </c>
      <c r="F117" s="15">
        <v>8.5878407117570212</v>
      </c>
      <c r="G117" s="15">
        <v>8.6696349854639454</v>
      </c>
      <c r="H117" s="15">
        <v>10.246623958690602</v>
      </c>
      <c r="I117" s="15">
        <v>12.261230975442032</v>
      </c>
      <c r="J117" s="15">
        <v>17.508511855105574</v>
      </c>
      <c r="K117" s="3">
        <v>0.9249929880675497</v>
      </c>
    </row>
    <row r="118" spans="1:11" x14ac:dyDescent="0.25">
      <c r="A118" s="3" t="s">
        <v>34</v>
      </c>
      <c r="B118" s="15">
        <v>4.6745103620765009</v>
      </c>
      <c r="C118" s="15">
        <v>6.3046435592927281</v>
      </c>
      <c r="D118" s="15">
        <v>8.1748644907068577</v>
      </c>
      <c r="E118" s="15">
        <v>11.102168170462726</v>
      </c>
      <c r="F118" s="15">
        <v>11.734128603606006</v>
      </c>
      <c r="G118" s="15">
        <v>13.656665582295799</v>
      </c>
      <c r="H118" s="15">
        <v>17.139135212006117</v>
      </c>
      <c r="I118" s="15">
        <v>16.940757239637385</v>
      </c>
      <c r="J118" s="15">
        <v>14.693873209229011</v>
      </c>
      <c r="K118" s="3">
        <v>0.92899426993840284</v>
      </c>
    </row>
    <row r="119" spans="1:11" x14ac:dyDescent="0.25">
      <c r="A119" s="3" t="s">
        <v>35</v>
      </c>
      <c r="B119" s="15">
        <v>5</v>
      </c>
      <c r="C119" s="15">
        <v>6</v>
      </c>
      <c r="D119" s="15">
        <v>8</v>
      </c>
      <c r="E119" s="15">
        <v>8</v>
      </c>
      <c r="F119" s="15">
        <v>8</v>
      </c>
      <c r="G119" s="15">
        <v>8</v>
      </c>
      <c r="H119" s="15">
        <v>10</v>
      </c>
      <c r="I119" s="15">
        <v>12</v>
      </c>
      <c r="J119" s="15">
        <v>14</v>
      </c>
      <c r="K119" s="3">
        <v>0.93280660351405675</v>
      </c>
    </row>
    <row r="120" spans="1:11" x14ac:dyDescent="0.25">
      <c r="A120" s="3" t="s">
        <v>16</v>
      </c>
      <c r="B120" s="15">
        <v>15.191286379753478</v>
      </c>
      <c r="C120" s="15">
        <v>15.629845396749257</v>
      </c>
      <c r="D120" s="15">
        <v>15.997655622122871</v>
      </c>
      <c r="E120" s="15">
        <v>15.858424844685569</v>
      </c>
      <c r="F120" s="15">
        <v>15.297804169215727</v>
      </c>
      <c r="G120" s="15">
        <v>14.203125187106851</v>
      </c>
      <c r="H120" s="15">
        <v>12.203125187106851</v>
      </c>
      <c r="I120" s="15">
        <v>11.5</v>
      </c>
      <c r="J120" s="15">
        <v>11.5</v>
      </c>
      <c r="K120" s="3">
        <v>0.93593816323691525</v>
      </c>
    </row>
    <row r="121" spans="1:11" x14ac:dyDescent="0.25">
      <c r="A121" s="3" t="s">
        <v>36</v>
      </c>
      <c r="B121" s="15">
        <v>0.25</v>
      </c>
      <c r="C121" s="15">
        <v>0.25</v>
      </c>
      <c r="D121" s="15">
        <v>0.91600000000000004</v>
      </c>
      <c r="E121" s="15">
        <v>1.387</v>
      </c>
      <c r="F121" s="15">
        <v>5.0120000000000005</v>
      </c>
      <c r="G121" s="15">
        <v>7.3010000000000002</v>
      </c>
      <c r="H121" s="15">
        <v>9.25</v>
      </c>
      <c r="I121" s="15">
        <v>11.25</v>
      </c>
      <c r="J121" s="15">
        <v>11.25</v>
      </c>
      <c r="K121" s="3">
        <v>0.93900164557449428</v>
      </c>
    </row>
    <row r="122" spans="1:11" x14ac:dyDescent="0.25">
      <c r="A122" s="3" t="s">
        <v>37</v>
      </c>
      <c r="B122" s="15">
        <v>8.1063575481029009</v>
      </c>
      <c r="C122" s="15">
        <v>10.249146792320133</v>
      </c>
      <c r="D122" s="15">
        <v>11.261006236468361</v>
      </c>
      <c r="E122" s="15">
        <v>11.433041906027547</v>
      </c>
      <c r="F122" s="15">
        <v>12.026461282399316</v>
      </c>
      <c r="G122" s="15">
        <v>12.63877503670628</v>
      </c>
      <c r="H122" s="15">
        <v>11.173999999999999</v>
      </c>
      <c r="I122" s="15">
        <v>11</v>
      </c>
      <c r="J122" s="15">
        <v>11</v>
      </c>
      <c r="K122" s="3">
        <v>0.94199705052679383</v>
      </c>
    </row>
    <row r="123" spans="1:11" x14ac:dyDescent="0.25">
      <c r="A123" s="3" t="s">
        <v>49</v>
      </c>
      <c r="B123" s="15">
        <v>5</v>
      </c>
      <c r="C123" s="15">
        <v>6</v>
      </c>
      <c r="D123" s="15">
        <v>6</v>
      </c>
      <c r="E123" s="15">
        <v>7</v>
      </c>
      <c r="F123" s="15">
        <v>10</v>
      </c>
      <c r="G123" s="15">
        <v>11</v>
      </c>
      <c r="H123" s="15">
        <v>11</v>
      </c>
      <c r="I123" s="15">
        <v>11</v>
      </c>
      <c r="J123" s="15">
        <v>11</v>
      </c>
      <c r="K123" s="3">
        <v>0.94499245547909327</v>
      </c>
    </row>
    <row r="124" spans="1:11" x14ac:dyDescent="0.25">
      <c r="A124" s="3" t="s">
        <v>53</v>
      </c>
      <c r="B124" s="15">
        <v>12.065439845952536</v>
      </c>
      <c r="C124" s="15">
        <v>11.223622979963091</v>
      </c>
      <c r="D124" s="15">
        <v>9.677259837773315</v>
      </c>
      <c r="E124" s="15">
        <v>11.839499761856231</v>
      </c>
      <c r="F124" s="15">
        <v>10.758125198459618</v>
      </c>
      <c r="G124" s="15">
        <v>11.674215888358674</v>
      </c>
      <c r="H124" s="15">
        <v>9.6030976029888198</v>
      </c>
      <c r="I124" s="15">
        <v>9.0388805414070141</v>
      </c>
      <c r="J124" s="15">
        <v>9.2625456400748618</v>
      </c>
      <c r="K124" s="3">
        <v>0.94751473503192785</v>
      </c>
    </row>
    <row r="125" spans="1:11" x14ac:dyDescent="0.25">
      <c r="A125" s="3" t="s">
        <v>19</v>
      </c>
      <c r="B125" s="15">
        <v>5.7580621688199018</v>
      </c>
      <c r="C125" s="15">
        <v>6.5739063543375824</v>
      </c>
      <c r="D125" s="15">
        <v>9.0518155224425989</v>
      </c>
      <c r="E125" s="15">
        <v>8.5226185242350709</v>
      </c>
      <c r="F125" s="15">
        <v>7.6043833037550312</v>
      </c>
      <c r="G125" s="15">
        <v>8.1946723772676151</v>
      </c>
      <c r="H125" s="15">
        <v>8.5930788869902681</v>
      </c>
      <c r="I125" s="15">
        <v>8.844205231109127</v>
      </c>
      <c r="J125" s="15">
        <v>8.3418356359127674</v>
      </c>
      <c r="K125" s="3">
        <v>0.94978629646602619</v>
      </c>
    </row>
    <row r="126" spans="1:11" x14ac:dyDescent="0.25">
      <c r="A126" s="3" t="s">
        <v>20</v>
      </c>
      <c r="B126" s="15">
        <v>6.1725380718214726</v>
      </c>
      <c r="C126" s="15">
        <v>5.9238153559231455</v>
      </c>
      <c r="D126" s="15">
        <v>6.1054933248673811</v>
      </c>
      <c r="E126" s="15">
        <v>6.4214682165860717</v>
      </c>
      <c r="F126" s="15">
        <v>6.4848571014539713</v>
      </c>
      <c r="G126" s="15">
        <v>6.3466404958002833</v>
      </c>
      <c r="H126" s="15">
        <v>6.535694526962982</v>
      </c>
      <c r="I126" s="15">
        <v>7.8459121210529554</v>
      </c>
      <c r="J126" s="15">
        <v>7.9434236555377566</v>
      </c>
      <c r="K126" s="3">
        <v>0.95194936651657258</v>
      </c>
    </row>
    <row r="127" spans="1:11" x14ac:dyDescent="0.25">
      <c r="A127" s="3" t="s">
        <v>21</v>
      </c>
      <c r="B127" s="15">
        <v>2.5376509447820914</v>
      </c>
      <c r="C127" s="15">
        <v>3.4200254662823228</v>
      </c>
      <c r="D127" s="15">
        <v>4.2521013632858669</v>
      </c>
      <c r="E127" s="15">
        <v>4.4959880247883497</v>
      </c>
      <c r="F127" s="15">
        <v>5.5288876691402535</v>
      </c>
      <c r="G127" s="15">
        <v>5.398810923517142</v>
      </c>
      <c r="H127" s="15">
        <v>5.6528369353545029</v>
      </c>
      <c r="I127" s="15">
        <v>6.6487545150069138</v>
      </c>
      <c r="J127" s="15">
        <v>6.754850110253332</v>
      </c>
      <c r="K127" s="3">
        <v>0.95378877665041739</v>
      </c>
    </row>
    <row r="128" spans="1:11" x14ac:dyDescent="0.25">
      <c r="A128" s="3" t="s">
        <v>17</v>
      </c>
      <c r="B128" s="15">
        <v>120.36219535335488</v>
      </c>
      <c r="C128" s="15">
        <v>134.71812695927341</v>
      </c>
      <c r="D128" s="15">
        <v>133.20598091849166</v>
      </c>
      <c r="E128" s="15">
        <v>134.62061598522962</v>
      </c>
      <c r="F128" s="15">
        <v>129.90887568663302</v>
      </c>
      <c r="G128" s="15">
        <v>140.05398768437954</v>
      </c>
      <c r="H128" s="15">
        <v>153.18327972104899</v>
      </c>
      <c r="I128" s="15">
        <v>159.48710382189489</v>
      </c>
      <c r="J128" s="15">
        <v>169.70108046833002</v>
      </c>
      <c r="K128" s="3">
        <v>1</v>
      </c>
    </row>
  </sheetData>
  <autoFilter ref="A81:J127" xr:uid="{F79BCA4B-89BF-48FD-9F2C-6B0DAC41B613}">
    <sortState xmlns:xlrd2="http://schemas.microsoft.com/office/spreadsheetml/2017/richdata2" ref="A82:J127">
      <sortCondition descending="1" ref="J81:J127"/>
    </sortState>
  </autoFilter>
  <conditionalFormatting sqref="A4:J76">
    <cfRule type="expression" dxfId="1" priority="4">
      <formula>MOD(ROW(),2)=0</formula>
    </cfRule>
  </conditionalFormatting>
  <conditionalFormatting sqref="B77:J77">
    <cfRule type="expression" dxfId="0" priority="1">
      <formula>MOD(ROW(),2)=0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E69F-69FD-4212-925A-078F14E1F6E5}">
  <dimension ref="A1"/>
  <sheetViews>
    <sheetView workbookViewId="0">
      <selection activeCell="N17" sqref="N1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Mine Production</vt:lpstr>
      <vt:lpstr>Gold vs BTC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James Care</cp:lastModifiedBy>
  <dcterms:created xsi:type="dcterms:W3CDTF">2019-04-09T09:20:25Z</dcterms:created>
  <dcterms:modified xsi:type="dcterms:W3CDTF">2020-04-04T23:03:42Z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{49C9799C-2166-4DCF-A99B-41A6017E9CC2}</vt:lpwstr>
  </property>
</Properties>
</file>