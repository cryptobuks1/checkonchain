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development\checkonchain\checkonchain\dcronchain\analysis\"/>
    </mc:Choice>
  </mc:AlternateContent>
  <xr:revisionPtr revIDLastSave="0" documentId="8_{1AB77853-DEEC-4699-8FC9-070076F03A34}" xr6:coauthVersionLast="45" xr6:coauthVersionMax="45" xr10:uidLastSave="{00000000-0000-0000-0000-000000000000}"/>
  <bookViews>
    <workbookView xWindow="-23148" yWindow="-108" windowWidth="23256" windowHeight="12576" activeTab="2" xr2:uid="{C1DBD89A-FCF4-46FB-BE1F-46D52357B53B}"/>
  </bookViews>
  <sheets>
    <sheet name="dcr_gpu" sheetId="4" r:id="rId1"/>
    <sheet name="dcr_asics" sheetId="1" r:id="rId2"/>
    <sheet name="dcr_asic_csv" sheetId="3" r:id="rId3"/>
    <sheet name="btc_asics" sheetId="2" r:id="rId4"/>
  </sheets>
  <definedNames>
    <definedName name="_xlnm._FilterDatabase" localSheetId="3" hidden="1">btc_asics!$B$2:$K$85</definedName>
    <definedName name="_xlnm._FilterDatabase" localSheetId="2" hidden="1">dcr_asic_csv!$A$1:$G$11</definedName>
    <definedName name="_xlnm._FilterDatabase" localSheetId="1" hidden="1">dcr_asics!$A$3:$M$3</definedName>
    <definedName name="_xlnm._FilterDatabase" localSheetId="0" hidden="1">dcr_gpu!$A$1:$H$1</definedName>
    <definedName name="result2097" localSheetId="0">dcr_gpu!#REF!</definedName>
    <definedName name="result2101" localSheetId="0">dcr_gpu!#REF!</definedName>
    <definedName name="result2103" localSheetId="0">dcr_gpu!#REF!</definedName>
    <definedName name="result2177" localSheetId="0">dcr_gpu!#REF!</definedName>
    <definedName name="result2252" localSheetId="0">dcr_gpu!#REF!</definedName>
    <definedName name="result307" localSheetId="0">dcr_gpu!$B$7</definedName>
    <definedName name="result308" localSheetId="0">dcr_gpu!$B$10</definedName>
    <definedName name="result309" localSheetId="0">dcr_gpu!$B$13</definedName>
    <definedName name="result312" localSheetId="0">dcr_gpu!$B$16</definedName>
    <definedName name="result317" localSheetId="0">dcr_gpu!$B$19</definedName>
    <definedName name="result319" localSheetId="0">dcr_gpu!$B$22</definedName>
    <definedName name="result320" localSheetId="0">dcr_gpu!#REF!</definedName>
    <definedName name="result321" localSheetId="0">dcr_gpu!#REF!</definedName>
    <definedName name="result322" localSheetId="0">dcr_gpu!#REF!</definedName>
    <definedName name="result323" localSheetId="0">dcr_gpu!#REF!</definedName>
    <definedName name="result326" localSheetId="0">dcr_gpu!#REF!</definedName>
    <definedName name="result333" localSheetId="0">dcr_gpu!#REF!</definedName>
    <definedName name="result334" localSheetId="0">dcr_gpu!#REF!</definedName>
    <definedName name="result336" localSheetId="0">dcr_gpu!#REF!</definedName>
    <definedName name="result338" localSheetId="0">dcr_gpu!#REF!</definedName>
    <definedName name="result3435" localSheetId="0">dcr_gpu!$B$4</definedName>
    <definedName name="result423" localSheetId="0">dcr_gpu!#REF!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" i="4"/>
  <c r="N4" i="1"/>
  <c r="M4" i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I3" i="4"/>
  <c r="I17" i="4"/>
  <c r="I16" i="4"/>
  <c r="I6" i="4"/>
  <c r="I7" i="4"/>
  <c r="I15" i="4"/>
  <c r="I14" i="4"/>
  <c r="I12" i="4"/>
  <c r="I22" i="4"/>
  <c r="I21" i="4"/>
  <c r="I20" i="4"/>
  <c r="I19" i="4"/>
  <c r="I23" i="4"/>
  <c r="I2" i="4"/>
  <c r="I5" i="4"/>
  <c r="I10" i="4"/>
  <c r="I13" i="4"/>
  <c r="I9" i="4"/>
  <c r="I8" i="4"/>
  <c r="I11" i="4"/>
  <c r="I18" i="4"/>
  <c r="I4" i="4"/>
  <c r="G18" i="4"/>
  <c r="H18" i="4"/>
  <c r="G19" i="4"/>
  <c r="H19" i="4"/>
  <c r="G20" i="4"/>
  <c r="H20" i="4"/>
  <c r="G11" i="4"/>
  <c r="H11" i="4"/>
  <c r="G8" i="4"/>
  <c r="H8" i="4"/>
  <c r="G9" i="4"/>
  <c r="H9" i="4"/>
  <c r="G7" i="4"/>
  <c r="H7" i="4"/>
  <c r="G6" i="4"/>
  <c r="H6" i="4"/>
  <c r="G21" i="4"/>
  <c r="H21" i="4"/>
  <c r="G12" i="4"/>
  <c r="H12" i="4"/>
  <c r="G13" i="4"/>
  <c r="H13" i="4"/>
  <c r="G14" i="4"/>
  <c r="H14" i="4"/>
  <c r="G22" i="4"/>
  <c r="H22" i="4"/>
  <c r="G3" i="4"/>
  <c r="H3" i="4"/>
  <c r="G15" i="4"/>
  <c r="H15" i="4"/>
  <c r="G4" i="4"/>
  <c r="H4" i="4"/>
  <c r="G16" i="4"/>
  <c r="H16" i="4"/>
  <c r="G10" i="4"/>
  <c r="H10" i="4"/>
  <c r="G2" i="4"/>
  <c r="J2" i="4" s="1"/>
  <c r="H2" i="4"/>
  <c r="G17" i="4"/>
  <c r="H17" i="4"/>
  <c r="G5" i="4"/>
  <c r="H5" i="4"/>
  <c r="H23" i="4"/>
  <c r="G23" i="4"/>
  <c r="J8" i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3" i="2"/>
  <c r="M20" i="1"/>
  <c r="N20" i="1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3" i="2"/>
  <c r="J3" i="2"/>
  <c r="J4" i="2"/>
  <c r="J5" i="2"/>
  <c r="J6" i="2"/>
  <c r="J7" i="2"/>
  <c r="J8" i="2"/>
  <c r="J9" i="2"/>
  <c r="J10" i="2"/>
  <c r="J12" i="2"/>
  <c r="J11" i="2"/>
  <c r="J13" i="2"/>
  <c r="J14" i="2"/>
  <c r="J15" i="2"/>
  <c r="J17" i="2"/>
  <c r="J16" i="2"/>
  <c r="J18" i="2"/>
  <c r="J21" i="2"/>
  <c r="J20" i="2"/>
  <c r="J19" i="2"/>
  <c r="J22" i="2"/>
  <c r="J26" i="2"/>
  <c r="J25" i="2"/>
  <c r="J24" i="2"/>
  <c r="J23" i="2"/>
  <c r="J28" i="2"/>
  <c r="J27" i="2"/>
  <c r="J29" i="2"/>
  <c r="J32" i="2"/>
  <c r="J31" i="2"/>
  <c r="J30" i="2"/>
  <c r="J33" i="2"/>
  <c r="J34" i="2"/>
  <c r="J35" i="2"/>
  <c r="J37" i="2"/>
  <c r="J36" i="2"/>
  <c r="J38" i="2"/>
  <c r="J40" i="2"/>
  <c r="J39" i="2"/>
  <c r="J41" i="2"/>
  <c r="J42" i="2"/>
  <c r="J43" i="2"/>
  <c r="J44" i="2"/>
  <c r="J45" i="2"/>
  <c r="J47" i="2"/>
  <c r="J46" i="2"/>
  <c r="J48" i="2"/>
  <c r="J49" i="2"/>
  <c r="J50" i="2"/>
  <c r="J52" i="2"/>
  <c r="J51" i="2"/>
  <c r="J53" i="2"/>
  <c r="J58" i="2"/>
  <c r="J57" i="2"/>
  <c r="J56" i="2"/>
  <c r="J55" i="2"/>
  <c r="J54" i="2"/>
  <c r="J59" i="2"/>
  <c r="J61" i="2"/>
  <c r="J60" i="2"/>
  <c r="J62" i="2"/>
  <c r="J65" i="2"/>
  <c r="J64" i="2"/>
  <c r="J63" i="2"/>
  <c r="J67" i="2"/>
  <c r="J66" i="2"/>
  <c r="J70" i="2"/>
  <c r="J69" i="2"/>
  <c r="J68" i="2"/>
  <c r="J72" i="2"/>
  <c r="J71" i="2"/>
  <c r="J75" i="2"/>
  <c r="J74" i="2"/>
  <c r="J73" i="2"/>
  <c r="J76" i="2"/>
  <c r="J77" i="2"/>
  <c r="J78" i="2"/>
  <c r="J79" i="2"/>
  <c r="J80" i="2"/>
  <c r="J81" i="2"/>
  <c r="J82" i="2"/>
  <c r="J83" i="2"/>
  <c r="J84" i="2"/>
  <c r="J85" i="2"/>
  <c r="I85" i="2"/>
  <c r="I3" i="2"/>
  <c r="I4" i="2"/>
  <c r="I5" i="2"/>
  <c r="I6" i="2"/>
  <c r="I7" i="2"/>
  <c r="I8" i="2"/>
  <c r="I9" i="2"/>
  <c r="I10" i="2"/>
  <c r="I12" i="2"/>
  <c r="I11" i="2"/>
  <c r="I13" i="2"/>
  <c r="I14" i="2"/>
  <c r="I15" i="2"/>
  <c r="I17" i="2"/>
  <c r="I16" i="2"/>
  <c r="I18" i="2"/>
  <c r="I21" i="2"/>
  <c r="I20" i="2"/>
  <c r="I19" i="2"/>
  <c r="I22" i="2"/>
  <c r="I26" i="2"/>
  <c r="I25" i="2"/>
  <c r="I24" i="2"/>
  <c r="I23" i="2"/>
  <c r="I28" i="2"/>
  <c r="I27" i="2"/>
  <c r="I29" i="2"/>
  <c r="I32" i="2"/>
  <c r="I31" i="2"/>
  <c r="I30" i="2"/>
  <c r="I33" i="2"/>
  <c r="I34" i="2"/>
  <c r="I35" i="2"/>
  <c r="I37" i="2"/>
  <c r="I36" i="2"/>
  <c r="I38" i="2"/>
  <c r="I40" i="2"/>
  <c r="I39" i="2"/>
  <c r="I41" i="2"/>
  <c r="I42" i="2"/>
  <c r="I43" i="2"/>
  <c r="I44" i="2"/>
  <c r="I45" i="2"/>
  <c r="I47" i="2"/>
  <c r="I46" i="2"/>
  <c r="I48" i="2"/>
  <c r="I49" i="2"/>
  <c r="I50" i="2"/>
  <c r="I52" i="2"/>
  <c r="I51" i="2"/>
  <c r="I53" i="2"/>
  <c r="I58" i="2"/>
  <c r="I57" i="2"/>
  <c r="I56" i="2"/>
  <c r="I55" i="2"/>
  <c r="I54" i="2"/>
  <c r="I59" i="2"/>
  <c r="I61" i="2"/>
  <c r="I60" i="2"/>
  <c r="I62" i="2"/>
  <c r="I65" i="2"/>
  <c r="I64" i="2"/>
  <c r="I63" i="2"/>
  <c r="I67" i="2"/>
  <c r="I66" i="2"/>
  <c r="I70" i="2"/>
  <c r="I69" i="2"/>
  <c r="I68" i="2"/>
  <c r="I72" i="2"/>
  <c r="I71" i="2"/>
  <c r="I75" i="2"/>
  <c r="I74" i="2"/>
  <c r="I73" i="2"/>
  <c r="I76" i="2"/>
  <c r="I77" i="2"/>
  <c r="I78" i="2"/>
  <c r="I79" i="2"/>
  <c r="I80" i="2"/>
  <c r="I81" i="2"/>
  <c r="I82" i="2"/>
  <c r="I83" i="2"/>
  <c r="I84" i="2"/>
  <c r="N16" i="1"/>
  <c r="M18" i="1"/>
  <c r="N18" i="1" s="1"/>
  <c r="M19" i="1"/>
  <c r="N19" i="1" s="1"/>
  <c r="M17" i="1"/>
  <c r="N17" i="1" s="1"/>
  <c r="M16" i="1"/>
  <c r="M15" i="1"/>
  <c r="N15" i="1" s="1"/>
  <c r="M14" i="1"/>
  <c r="N14" i="1" s="1"/>
  <c r="M13" i="1"/>
  <c r="N13" i="1" s="1"/>
  <c r="M11" i="1"/>
  <c r="N11" i="1" s="1"/>
  <c r="M10" i="1"/>
  <c r="N10" i="1" s="1"/>
  <c r="M9" i="1"/>
  <c r="N9" i="1" s="1"/>
  <c r="M6" i="1"/>
  <c r="N6" i="1" s="1"/>
  <c r="M5" i="1"/>
  <c r="N5" i="1" s="1"/>
  <c r="M12" i="1"/>
  <c r="N12" i="1" s="1"/>
  <c r="M8" i="1"/>
  <c r="M7" i="1"/>
  <c r="N7" i="1" s="1"/>
  <c r="J12" i="1"/>
  <c r="J19" i="1"/>
  <c r="J18" i="1"/>
  <c r="J20" i="1"/>
  <c r="N8" i="1" l="1"/>
  <c r="K74" i="2"/>
  <c r="M74" i="2" s="1"/>
  <c r="K62" i="2"/>
  <c r="M62" i="2" s="1"/>
  <c r="K50" i="2"/>
  <c r="M50" i="2" s="1"/>
  <c r="K38" i="2"/>
  <c r="M38" i="2" s="1"/>
  <c r="K23" i="2"/>
  <c r="M23" i="2" s="1"/>
  <c r="K14" i="2"/>
  <c r="M14" i="2" s="1"/>
  <c r="K85" i="2"/>
  <c r="M85" i="2" s="1"/>
  <c r="K83" i="2"/>
  <c r="M83" i="2" s="1"/>
  <c r="K80" i="2"/>
  <c r="M80" i="2" s="1"/>
  <c r="K70" i="2"/>
  <c r="M70" i="2" s="1"/>
  <c r="K56" i="2"/>
  <c r="M56" i="2" s="1"/>
  <c r="K44" i="2"/>
  <c r="M44" i="2" s="1"/>
  <c r="K30" i="2"/>
  <c r="M30" i="2" s="1"/>
  <c r="K20" i="2"/>
  <c r="M20" i="2" s="1"/>
  <c r="K8" i="2"/>
  <c r="M8" i="2" s="1"/>
  <c r="K54" i="2"/>
  <c r="M54" i="2" s="1"/>
  <c r="K79" i="2"/>
  <c r="M79" i="2" s="1"/>
  <c r="K66" i="2"/>
  <c r="M66" i="2" s="1"/>
  <c r="K57" i="2"/>
  <c r="M57" i="2" s="1"/>
  <c r="K43" i="2"/>
  <c r="M43" i="2" s="1"/>
  <c r="K31" i="2"/>
  <c r="M31" i="2" s="1"/>
  <c r="K21" i="2"/>
  <c r="M21" i="2" s="1"/>
  <c r="K7" i="2"/>
  <c r="M7" i="2" s="1"/>
  <c r="K78" i="2"/>
  <c r="M78" i="2" s="1"/>
  <c r="K67" i="2"/>
  <c r="M67" i="2" s="1"/>
  <c r="K58" i="2"/>
  <c r="M58" i="2" s="1"/>
  <c r="K42" i="2"/>
  <c r="M42" i="2" s="1"/>
  <c r="K32" i="2"/>
  <c r="M32" i="2" s="1"/>
  <c r="K18" i="2"/>
  <c r="M18" i="2" s="1"/>
  <c r="K6" i="2"/>
  <c r="M6" i="2" s="1"/>
  <c r="K68" i="2"/>
  <c r="M68" i="2" s="1"/>
  <c r="K77" i="2"/>
  <c r="M77" i="2" s="1"/>
  <c r="K63" i="2"/>
  <c r="M63" i="2" s="1"/>
  <c r="K53" i="2"/>
  <c r="M53" i="2" s="1"/>
  <c r="K41" i="2"/>
  <c r="M41" i="2" s="1"/>
  <c r="K29" i="2"/>
  <c r="M29" i="2" s="1"/>
  <c r="K16" i="2"/>
  <c r="M16" i="2" s="1"/>
  <c r="K5" i="2"/>
  <c r="M5" i="2" s="1"/>
  <c r="K64" i="2"/>
  <c r="M64" i="2" s="1"/>
  <c r="K51" i="2"/>
  <c r="M51" i="2" s="1"/>
  <c r="K39" i="2"/>
  <c r="M39" i="2" s="1"/>
  <c r="K27" i="2"/>
  <c r="M27" i="2" s="1"/>
  <c r="K17" i="2"/>
  <c r="M17" i="2" s="1"/>
  <c r="K4" i="2"/>
  <c r="M4" i="2" s="1"/>
  <c r="K76" i="2"/>
  <c r="M76" i="2" s="1"/>
  <c r="K73" i="2"/>
  <c r="M73" i="2" s="1"/>
  <c r="K65" i="2"/>
  <c r="M65" i="2" s="1"/>
  <c r="K52" i="2"/>
  <c r="M52" i="2" s="1"/>
  <c r="K40" i="2"/>
  <c r="M40" i="2" s="1"/>
  <c r="K28" i="2"/>
  <c r="M28" i="2" s="1"/>
  <c r="K15" i="2"/>
  <c r="M15" i="2" s="1"/>
  <c r="K3" i="2"/>
  <c r="M3" i="2" s="1"/>
  <c r="K75" i="2"/>
  <c r="M75" i="2" s="1"/>
  <c r="K60" i="2"/>
  <c r="M60" i="2" s="1"/>
  <c r="K49" i="2"/>
  <c r="M49" i="2" s="1"/>
  <c r="K36" i="2"/>
  <c r="M36" i="2" s="1"/>
  <c r="K24" i="2"/>
  <c r="M24" i="2" s="1"/>
  <c r="K13" i="2"/>
  <c r="M13" i="2" s="1"/>
  <c r="K84" i="2"/>
  <c r="M84" i="2" s="1"/>
  <c r="K71" i="2"/>
  <c r="M71" i="2" s="1"/>
  <c r="K61" i="2"/>
  <c r="M61" i="2" s="1"/>
  <c r="K48" i="2"/>
  <c r="M48" i="2" s="1"/>
  <c r="K37" i="2"/>
  <c r="M37" i="2" s="1"/>
  <c r="K25" i="2"/>
  <c r="M25" i="2" s="1"/>
  <c r="K11" i="2"/>
  <c r="M11" i="2" s="1"/>
  <c r="K72" i="2"/>
  <c r="M72" i="2" s="1"/>
  <c r="K59" i="2"/>
  <c r="M59" i="2" s="1"/>
  <c r="K46" i="2"/>
  <c r="M46" i="2" s="1"/>
  <c r="K35" i="2"/>
  <c r="M35" i="2" s="1"/>
  <c r="K26" i="2"/>
  <c r="M26" i="2" s="1"/>
  <c r="K12" i="2"/>
  <c r="M12" i="2" s="1"/>
  <c r="K47" i="2"/>
  <c r="M47" i="2" s="1"/>
  <c r="K34" i="2"/>
  <c r="M34" i="2" s="1"/>
  <c r="K22" i="2"/>
  <c r="M22" i="2" s="1"/>
  <c r="K10" i="2"/>
  <c r="M10" i="2" s="1"/>
  <c r="K82" i="2"/>
  <c r="M82" i="2" s="1"/>
  <c r="K81" i="2"/>
  <c r="M81" i="2" s="1"/>
  <c r="K69" i="2"/>
  <c r="M69" i="2" s="1"/>
  <c r="K55" i="2"/>
  <c r="M55" i="2" s="1"/>
  <c r="K45" i="2"/>
  <c r="M45" i="2" s="1"/>
  <c r="K33" i="2"/>
  <c r="M33" i="2" s="1"/>
  <c r="K19" i="2"/>
  <c r="M19" i="2" s="1"/>
  <c r="K9" i="2"/>
  <c r="M9" i="2" s="1"/>
</calcChain>
</file>

<file path=xl/sharedStrings.xml><?xml version="1.0" encoding="utf-8"?>
<sst xmlns="http://schemas.openxmlformats.org/spreadsheetml/2006/main" count="847" uniqueCount="519">
  <si>
    <t>Model</t>
  </si>
  <si>
    <t>Release</t>
  </si>
  <si>
    <t>Hashrate</t>
  </si>
  <si>
    <t>Power</t>
  </si>
  <si>
    <t>Noise</t>
  </si>
  <si>
    <t>Algo</t>
  </si>
  <si>
    <t>Profitability</t>
  </si>
  <si>
    <t>FFMiner Decred D18</t>
  </si>
  <si>
    <t>Jun 2018</t>
  </si>
  <si>
    <t>Blake256R14</t>
  </si>
  <si>
    <t>Obelisk DCR1</t>
  </si>
  <si>
    <t>StrongU STU-U1++</t>
  </si>
  <si>
    <t>Jul 2019</t>
  </si>
  <si>
    <t>MicroBT Whatsminer D1</t>
  </si>
  <si>
    <t>Nov 2018</t>
  </si>
  <si>
    <t>Bitmain Antminer DR5 (34Th)</t>
  </si>
  <si>
    <t>Dec 2018</t>
  </si>
  <si>
    <t>Halong Mining DragonMint B29</t>
  </si>
  <si>
    <t>Apr 2018</t>
  </si>
  <si>
    <t>Innosilicon D9 DecredMaster</t>
  </si>
  <si>
    <t>FFMiner DS19</t>
  </si>
  <si>
    <t>Aug 2018</t>
  </si>
  <si>
    <t>Innosilicon D9+ DecredMaster</t>
  </si>
  <si>
    <t>Bitmain Antminer DR3</t>
  </si>
  <si>
    <t>Sep 2018</t>
  </si>
  <si>
    <t>StrongU STU-U1</t>
  </si>
  <si>
    <t>Oct 2018</t>
  </si>
  <si>
    <t>StrongU STU-U1+</t>
  </si>
  <si>
    <t>Bitfily Snow Panther D1</t>
  </si>
  <si>
    <t>Jul 2018</t>
  </si>
  <si>
    <t>db</t>
  </si>
  <si>
    <t>iBeLink DSM6T</t>
  </si>
  <si>
    <t>Baikal BK-D</t>
  </si>
  <si>
    <t>4 </t>
  </si>
  <si>
    <t>Baikal BK-B</t>
  </si>
  <si>
    <t>Jan 2018</t>
  </si>
  <si>
    <t>5 </t>
  </si>
  <si>
    <t>iBeLink DSM7T</t>
  </si>
  <si>
    <t>2 </t>
  </si>
  <si>
    <r>
      <t>340</t>
    </r>
    <r>
      <rPr>
        <sz val="9"/>
        <color rgb="FF888888"/>
        <rFont val="Times New Roman"/>
        <family val="1"/>
      </rPr>
      <t>Gh/s</t>
    </r>
  </si>
  <si>
    <r>
      <t>180</t>
    </r>
    <r>
      <rPr>
        <sz val="9"/>
        <color rgb="FF888888"/>
        <rFont val="Times New Roman"/>
        <family val="1"/>
      </rPr>
      <t>W</t>
    </r>
  </si>
  <si>
    <r>
      <t>55</t>
    </r>
    <r>
      <rPr>
        <sz val="9"/>
        <color rgb="FF888888"/>
        <rFont val="Times New Roman"/>
        <family val="1"/>
      </rPr>
      <t>db</t>
    </r>
  </si>
  <si>
    <r>
      <t>-$0.49</t>
    </r>
    <r>
      <rPr>
        <sz val="9"/>
        <color rgb="FF333333"/>
        <rFont val="Times New Roman"/>
        <family val="1"/>
      </rPr>
      <t>/day</t>
    </r>
  </si>
  <si>
    <r>
      <t>1.2</t>
    </r>
    <r>
      <rPr>
        <sz val="9"/>
        <color rgb="FF888888"/>
        <rFont val="Times New Roman"/>
        <family val="1"/>
      </rPr>
      <t>Th/s</t>
    </r>
  </si>
  <si>
    <r>
      <t>500</t>
    </r>
    <r>
      <rPr>
        <sz val="9"/>
        <color rgb="FF888888"/>
        <rFont val="Times New Roman"/>
        <family val="1"/>
      </rPr>
      <t>W</t>
    </r>
  </si>
  <si>
    <r>
      <t>65</t>
    </r>
    <r>
      <rPr>
        <sz val="9"/>
        <color rgb="FF888888"/>
        <rFont val="Times New Roman"/>
        <family val="1"/>
      </rPr>
      <t>db</t>
    </r>
  </si>
  <si>
    <r>
      <t>-$1.33</t>
    </r>
    <r>
      <rPr>
        <sz val="9"/>
        <color rgb="FF333333"/>
        <rFont val="Times New Roman"/>
        <family val="1"/>
      </rPr>
      <t>/day</t>
    </r>
  </si>
  <si>
    <r>
      <t>52</t>
    </r>
    <r>
      <rPr>
        <sz val="9"/>
        <color rgb="FF888888"/>
        <rFont val="Times New Roman"/>
        <family val="1"/>
      </rPr>
      <t>Th/s</t>
    </r>
  </si>
  <si>
    <r>
      <t>2200</t>
    </r>
    <r>
      <rPr>
        <sz val="9"/>
        <color rgb="FF888888"/>
        <rFont val="Times New Roman"/>
        <family val="1"/>
      </rPr>
      <t>W</t>
    </r>
  </si>
  <si>
    <r>
      <t>76</t>
    </r>
    <r>
      <rPr>
        <sz val="9"/>
        <color rgb="FF888888"/>
        <rFont val="Times New Roman"/>
        <family val="1"/>
      </rPr>
      <t>db</t>
    </r>
  </si>
  <si>
    <r>
      <t>-$1.74</t>
    </r>
    <r>
      <rPr>
        <sz val="9"/>
        <color rgb="FF333333"/>
        <rFont val="Times New Roman"/>
        <family val="1"/>
      </rPr>
      <t>/day</t>
    </r>
  </si>
  <si>
    <r>
      <t>48</t>
    </r>
    <r>
      <rPr>
        <sz val="9"/>
        <color rgb="FF888888"/>
        <rFont val="Times New Roman"/>
        <family val="1"/>
      </rPr>
      <t>Th/s</t>
    </r>
  </si>
  <si>
    <r>
      <t>75</t>
    </r>
    <r>
      <rPr>
        <sz val="9"/>
        <color rgb="FF888888"/>
        <rFont val="Times New Roman"/>
        <family val="1"/>
      </rPr>
      <t>db</t>
    </r>
  </si>
  <si>
    <r>
      <t>-$2.09</t>
    </r>
    <r>
      <rPr>
        <sz val="9"/>
        <color rgb="FF333333"/>
        <rFont val="Times New Roman"/>
        <family val="1"/>
      </rPr>
      <t>/day</t>
    </r>
  </si>
  <si>
    <r>
      <t>34</t>
    </r>
    <r>
      <rPr>
        <sz val="9"/>
        <color rgb="FF888888"/>
        <rFont val="Times New Roman"/>
        <family val="1"/>
      </rPr>
      <t>Th/s</t>
    </r>
  </si>
  <si>
    <r>
      <t>1800</t>
    </r>
    <r>
      <rPr>
        <sz val="9"/>
        <color rgb="FF888888"/>
        <rFont val="Times New Roman"/>
        <family val="1"/>
      </rPr>
      <t>W</t>
    </r>
  </si>
  <si>
    <r>
      <t>-$2.18</t>
    </r>
    <r>
      <rPr>
        <sz val="9"/>
        <color rgb="FF333333"/>
        <rFont val="Times New Roman"/>
        <family val="1"/>
      </rPr>
      <t>/day</t>
    </r>
  </si>
  <si>
    <r>
      <t>2.1</t>
    </r>
    <r>
      <rPr>
        <sz val="9"/>
        <color rgb="FF888888"/>
        <rFont val="Times New Roman"/>
        <family val="1"/>
      </rPr>
      <t>Th/s</t>
    </r>
  </si>
  <si>
    <r>
      <t>900</t>
    </r>
    <r>
      <rPr>
        <sz val="9"/>
        <color rgb="FF888888"/>
        <rFont val="Times New Roman"/>
        <family val="1"/>
      </rPr>
      <t>W</t>
    </r>
  </si>
  <si>
    <r>
      <t>70</t>
    </r>
    <r>
      <rPr>
        <sz val="9"/>
        <color rgb="FF888888"/>
        <rFont val="Times New Roman"/>
        <family val="1"/>
      </rPr>
      <t>db</t>
    </r>
  </si>
  <si>
    <r>
      <t>-$2.41</t>
    </r>
    <r>
      <rPr>
        <sz val="9"/>
        <color rgb="FF333333"/>
        <rFont val="Times New Roman"/>
        <family val="1"/>
      </rPr>
      <t>/day</t>
    </r>
  </si>
  <si>
    <r>
      <t>2.4</t>
    </r>
    <r>
      <rPr>
        <sz val="9"/>
        <color rgb="FF888888"/>
        <rFont val="Times New Roman"/>
        <family val="1"/>
      </rPr>
      <t>Th/s</t>
    </r>
  </si>
  <si>
    <r>
      <t>1000</t>
    </r>
    <r>
      <rPr>
        <sz val="9"/>
        <color rgb="FF888888"/>
        <rFont val="Times New Roman"/>
        <family val="1"/>
      </rPr>
      <t>W</t>
    </r>
  </si>
  <si>
    <r>
      <t>-$2.67</t>
    </r>
    <r>
      <rPr>
        <sz val="9"/>
        <color rgb="FF333333"/>
        <rFont val="Times New Roman"/>
        <family val="1"/>
      </rPr>
      <t>/day</t>
    </r>
  </si>
  <si>
    <r>
      <t>3.1</t>
    </r>
    <r>
      <rPr>
        <sz val="9"/>
        <color rgb="FF888888"/>
        <rFont val="Times New Roman"/>
        <family val="1"/>
      </rPr>
      <t>Th/s</t>
    </r>
  </si>
  <si>
    <r>
      <t>980</t>
    </r>
    <r>
      <rPr>
        <sz val="9"/>
        <color rgb="FF888888"/>
        <rFont val="Times New Roman"/>
        <family val="1"/>
      </rPr>
      <t>W</t>
    </r>
  </si>
  <si>
    <r>
      <t>67</t>
    </r>
    <r>
      <rPr>
        <sz val="9"/>
        <color rgb="FF888888"/>
        <rFont val="Times New Roman"/>
        <family val="1"/>
      </rPr>
      <t>db</t>
    </r>
  </si>
  <si>
    <r>
      <t>-$2.85</t>
    </r>
    <r>
      <rPr>
        <sz val="9"/>
        <color rgb="FF333333"/>
        <rFont val="Times New Roman"/>
        <family val="1"/>
      </rPr>
      <t>/day</t>
    </r>
  </si>
  <si>
    <r>
      <t>2.8</t>
    </r>
    <r>
      <rPr>
        <sz val="9"/>
        <color rgb="FF888888"/>
        <rFont val="Times New Roman"/>
        <family val="1"/>
      </rPr>
      <t>Th/s</t>
    </r>
  </si>
  <si>
    <r>
      <t>1230</t>
    </r>
    <r>
      <rPr>
        <sz val="9"/>
        <color rgb="FF888888"/>
        <rFont val="Times New Roman"/>
        <family val="1"/>
      </rPr>
      <t>W</t>
    </r>
  </si>
  <si>
    <r>
      <t>-$3.29</t>
    </r>
    <r>
      <rPr>
        <sz val="9"/>
        <color rgb="FF333333"/>
        <rFont val="Times New Roman"/>
        <family val="1"/>
      </rPr>
      <t>/day</t>
    </r>
  </si>
  <si>
    <r>
      <t>7.8</t>
    </r>
    <r>
      <rPr>
        <sz val="9"/>
        <color rgb="FF888888"/>
        <rFont val="Times New Roman"/>
        <family val="1"/>
      </rPr>
      <t>Th/s</t>
    </r>
  </si>
  <si>
    <r>
      <t>1410</t>
    </r>
    <r>
      <rPr>
        <sz val="9"/>
        <color rgb="FF888888"/>
        <rFont val="Times New Roman"/>
        <family val="1"/>
      </rPr>
      <t>W</t>
    </r>
  </si>
  <si>
    <r>
      <t>-$3.37</t>
    </r>
    <r>
      <rPr>
        <sz val="9"/>
        <color rgb="FF333333"/>
        <rFont val="Times New Roman"/>
        <family val="1"/>
      </rPr>
      <t>/day</t>
    </r>
  </si>
  <si>
    <r>
      <t>11</t>
    </r>
    <r>
      <rPr>
        <sz val="9"/>
        <color rgb="FF888888"/>
        <rFont val="Times New Roman"/>
        <family val="1"/>
      </rPr>
      <t>Th/s</t>
    </r>
  </si>
  <si>
    <r>
      <t>1600</t>
    </r>
    <r>
      <rPr>
        <sz val="9"/>
        <color rgb="FF888888"/>
        <rFont val="Times New Roman"/>
        <family val="1"/>
      </rPr>
      <t>W</t>
    </r>
  </si>
  <si>
    <r>
      <t>-$3.64</t>
    </r>
    <r>
      <rPr>
        <sz val="9"/>
        <color rgb="FF333333"/>
        <rFont val="Times New Roman"/>
        <family val="1"/>
      </rPr>
      <t>/day</t>
    </r>
  </si>
  <si>
    <r>
      <t>12.8</t>
    </r>
    <r>
      <rPr>
        <sz val="9"/>
        <color rgb="FF888888"/>
        <rFont val="Times New Roman"/>
        <family val="1"/>
      </rPr>
      <t>Th/s</t>
    </r>
  </si>
  <si>
    <r>
      <t>1850</t>
    </r>
    <r>
      <rPr>
        <sz val="9"/>
        <color rgb="FF888888"/>
        <rFont val="Times New Roman"/>
        <family val="1"/>
      </rPr>
      <t>W</t>
    </r>
  </si>
  <si>
    <r>
      <t>-$4.20</t>
    </r>
    <r>
      <rPr>
        <sz val="9"/>
        <color rgb="FF333333"/>
        <rFont val="Times New Roman"/>
        <family val="1"/>
      </rPr>
      <t>/day</t>
    </r>
  </si>
  <si>
    <r>
      <t>6</t>
    </r>
    <r>
      <rPr>
        <sz val="9"/>
        <color rgb="FF888888"/>
        <rFont val="Times New Roman"/>
        <family val="1"/>
      </rPr>
      <t>Th/s</t>
    </r>
  </si>
  <si>
    <r>
      <t>2100</t>
    </r>
    <r>
      <rPr>
        <sz val="9"/>
        <color rgb="FF888888"/>
        <rFont val="Times New Roman"/>
        <family val="1"/>
      </rPr>
      <t>W</t>
    </r>
  </si>
  <si>
    <r>
      <t>-$5.52</t>
    </r>
    <r>
      <rPr>
        <sz val="9"/>
        <color rgb="FF333333"/>
        <rFont val="Times New Roman"/>
        <family val="1"/>
      </rPr>
      <t>/day</t>
    </r>
  </si>
  <si>
    <r>
      <t>78</t>
    </r>
    <r>
      <rPr>
        <sz val="9"/>
        <color rgb="FF888888"/>
        <rFont val="Times New Roman"/>
        <family val="1"/>
      </rPr>
      <t>db</t>
    </r>
  </si>
  <si>
    <r>
      <t>320</t>
    </r>
    <r>
      <rPr>
        <sz val="9"/>
        <color rgb="FF888888"/>
        <rFont val="Times New Roman"/>
        <family val="1"/>
      </rPr>
      <t>Gh/s</t>
    </r>
  </si>
  <si>
    <r>
      <t>1100</t>
    </r>
    <r>
      <rPr>
        <sz val="9"/>
        <color rgb="FF888888"/>
        <rFont val="Times New Roman"/>
        <family val="1"/>
      </rPr>
      <t>W</t>
    </r>
  </si>
  <si>
    <r>
      <t>-$2.49</t>
    </r>
    <r>
      <rPr>
        <sz val="9"/>
        <color rgb="FF333333"/>
        <rFont val="Times New Roman"/>
        <family val="1"/>
      </rPr>
      <t>/day</t>
    </r>
  </si>
  <si>
    <r>
      <t>160</t>
    </r>
    <r>
      <rPr>
        <sz val="9"/>
        <color rgb="FF888888"/>
        <rFont val="Times New Roman"/>
        <family val="1"/>
      </rPr>
      <t>Gh/s</t>
    </r>
  </si>
  <si>
    <r>
      <t>410</t>
    </r>
    <r>
      <rPr>
        <sz val="9"/>
        <color rgb="FF888888"/>
        <rFont val="Times New Roman"/>
        <family val="1"/>
      </rPr>
      <t>W</t>
    </r>
  </si>
  <si>
    <r>
      <t>-$0.46</t>
    </r>
    <r>
      <rPr>
        <sz val="9"/>
        <color rgb="FF333333"/>
        <rFont val="Times New Roman"/>
        <family val="1"/>
      </rPr>
      <t>/day</t>
    </r>
  </si>
  <si>
    <r>
      <t>7</t>
    </r>
    <r>
      <rPr>
        <sz val="9"/>
        <color rgb="FF888888"/>
        <rFont val="Times New Roman"/>
        <family val="1"/>
      </rPr>
      <t>Th/s</t>
    </r>
  </si>
  <si>
    <r>
      <t>-$5.43</t>
    </r>
    <r>
      <rPr>
        <sz val="9"/>
        <color rgb="FF333333"/>
        <rFont val="Times New Roman"/>
        <family val="1"/>
      </rPr>
      <t>/day</t>
    </r>
  </si>
  <si>
    <t>TH/s</t>
  </si>
  <si>
    <t>W</t>
  </si>
  <si>
    <t>ASIC Price (USD)</t>
  </si>
  <si>
    <t>GBP/USD</t>
  </si>
  <si>
    <t>U1++</t>
  </si>
  <si>
    <t>U1+</t>
  </si>
  <si>
    <t>U1</t>
  </si>
  <si>
    <t>D1</t>
  </si>
  <si>
    <t>DR3</t>
  </si>
  <si>
    <t>DS19</t>
  </si>
  <si>
    <t>DCR1</t>
  </si>
  <si>
    <t>B29</t>
  </si>
  <si>
    <t>D18</t>
  </si>
  <si>
    <t>DR5</t>
  </si>
  <si>
    <t>DSM7T</t>
  </si>
  <si>
    <t>DSM6T</t>
  </si>
  <si>
    <t>D9</t>
  </si>
  <si>
    <t>D9+</t>
  </si>
  <si>
    <t>BK-B</t>
  </si>
  <si>
    <t>BK-D</t>
  </si>
  <si>
    <t>Bitmain Antminer S3</t>
  </si>
  <si>
    <t>Jul 2014</t>
  </si>
  <si>
    <t>SHA-256</t>
  </si>
  <si>
    <t>Bitmain Antminer S5</t>
  </si>
  <si>
    <t>Dec 2014</t>
  </si>
  <si>
    <t>Bitmain Antminer S7-LN</t>
  </si>
  <si>
    <t>Jun 2016</t>
  </si>
  <si>
    <t>Bitmain Antminer V9 (4Th)</t>
  </si>
  <si>
    <t>Mar 2018</t>
  </si>
  <si>
    <t>Bitmain Antminer S7</t>
  </si>
  <si>
    <t>Sep 2015</t>
  </si>
  <si>
    <t>Canaan AvalonMiner 741</t>
  </si>
  <si>
    <t>Apr 2017</t>
  </si>
  <si>
    <t>Pantech SX6</t>
  </si>
  <si>
    <t>Sep 2017</t>
  </si>
  <si>
    <t>Bitmain Antminer R4</t>
  </si>
  <si>
    <t>Feb 2017</t>
  </si>
  <si>
    <t>Ebang Ebit E9+</t>
  </si>
  <si>
    <t>Bitmain Antminer T9+ (10.5Th)</t>
  </si>
  <si>
    <t>Bitmain Antminer S9 (11.5Th)</t>
  </si>
  <si>
    <t>Canaan AvalonMiner 821</t>
  </si>
  <si>
    <t>Feb 2018</t>
  </si>
  <si>
    <t>Bitmain Antminer T9 (11.5Th)</t>
  </si>
  <si>
    <t>Ebang Ebit E9.2</t>
  </si>
  <si>
    <t>May 2018</t>
  </si>
  <si>
    <t>MicroBT Whatsminer M3</t>
  </si>
  <si>
    <t>Bitmain Antminer S9 (12.5Th)</t>
  </si>
  <si>
    <t>Bitmain Antminer T9 (12.5Th)</t>
  </si>
  <si>
    <t>Aug 2017</t>
  </si>
  <si>
    <t>MicroBT Whatsminer M3X</t>
  </si>
  <si>
    <t>Bitmain Antminer S9i (13Th)</t>
  </si>
  <si>
    <t>Bitmain Antminer S9 (13Th)</t>
  </si>
  <si>
    <t>Jul 2017</t>
  </si>
  <si>
    <t>Bitmain Antminer S9k (13.5Th)</t>
  </si>
  <si>
    <t>Aug 2019</t>
  </si>
  <si>
    <t>Bitmain Antminer S9 (13.5Th)</t>
  </si>
  <si>
    <t>Ebang Ebit E9i</t>
  </si>
  <si>
    <t>Canaan AvalonMiner 841</t>
  </si>
  <si>
    <t>Bitmain Antminer S9i (14Th)</t>
  </si>
  <si>
    <t>Bitmain Antminer S9 (14Th)</t>
  </si>
  <si>
    <t>Nov 2017</t>
  </si>
  <si>
    <t>Bitmain Antminer S9j (14.5Th)</t>
  </si>
  <si>
    <t>Bitmain Antminer S9 SE (16Th)</t>
  </si>
  <si>
    <t>Bitfily Snow Panther B1</t>
  </si>
  <si>
    <t>Aladdin Miner 16Th/s Bitcoin</t>
  </si>
  <si>
    <t>Halong Mining DragonMint T1</t>
  </si>
  <si>
    <t>Ebang Ebit E9.3</t>
  </si>
  <si>
    <t>Innosilicon T2 Terminator</t>
  </si>
  <si>
    <t>Ebang Ebit E10</t>
  </si>
  <si>
    <t>Bitmain Antminer S9 Hydro (18Th)</t>
  </si>
  <si>
    <t>Canaan AvalonMiner 921</t>
  </si>
  <si>
    <t>Bitmain Antminer S11 (20.5Th)</t>
  </si>
  <si>
    <t>Holic H22</t>
  </si>
  <si>
    <t>GMO miner B2</t>
  </si>
  <si>
    <t>Innosilicon T2 Turbo</t>
  </si>
  <si>
    <t>Bitfily Snow Panther B1+</t>
  </si>
  <si>
    <t>Holic H28</t>
  </si>
  <si>
    <t>Ebang Ebit E11</t>
  </si>
  <si>
    <t>MicroBT Whatsminer M21</t>
  </si>
  <si>
    <t>Innosilicon T2 Turbo+ 32T</t>
  </si>
  <si>
    <t>MicroBT Whatsminer M10</t>
  </si>
  <si>
    <t>GMO miner B3</t>
  </si>
  <si>
    <t>Pantech WX6</t>
  </si>
  <si>
    <t>Ebang Ebit E11+</t>
  </si>
  <si>
    <t>Canaan AvalonMiner 1047</t>
  </si>
  <si>
    <t>Sep 2019</t>
  </si>
  <si>
    <t>Innosilicon T3 39T</t>
  </si>
  <si>
    <t>Mar 2019</t>
  </si>
  <si>
    <t>Bitmain Antminer T17 (40Th)</t>
  </si>
  <si>
    <t>May 2019</t>
  </si>
  <si>
    <t>Innosilicon T3 43T</t>
  </si>
  <si>
    <t>Jan 2019</t>
  </si>
  <si>
    <t>Ebang Ebit E11++</t>
  </si>
  <si>
    <t>ASICminer 8 Nano 44Th</t>
  </si>
  <si>
    <t>Ebang Ebit E12</t>
  </si>
  <si>
    <t>StrongU STU-U8</t>
  </si>
  <si>
    <t>Bitfily Snow Panther A1</t>
  </si>
  <si>
    <t>Bitfury B8</t>
  </si>
  <si>
    <t>Dec 2017</t>
  </si>
  <si>
    <t>Bitmain Antminer S17 Pro (50Th)</t>
  </si>
  <si>
    <t>Apr 2019</t>
  </si>
  <si>
    <t>Ebang Ebit E12+</t>
  </si>
  <si>
    <t>Innosilicon T3 50T</t>
  </si>
  <si>
    <t>Canaan AvalonMiner 1066</t>
  </si>
  <si>
    <t>Innosilicon T3+ 52T</t>
  </si>
  <si>
    <t>Bitmain Antminer S17 Pro (53Th)</t>
  </si>
  <si>
    <t>Bitmain Antminer S17 (53Th)</t>
  </si>
  <si>
    <t>Bitmain Antminer T17e (53Th)</t>
  </si>
  <si>
    <t>Nov 2019</t>
  </si>
  <si>
    <t>MicroBT Whatsminer M10S</t>
  </si>
  <si>
    <t>Bitmain Antminer S17 (56Th)</t>
  </si>
  <si>
    <t>MicroBT Whatsminer M21S</t>
  </si>
  <si>
    <t>Jun 2019</t>
  </si>
  <si>
    <t>Innosilicon T3+ 57T</t>
  </si>
  <si>
    <t>ASICminer 8 Nano S 58Th</t>
  </si>
  <si>
    <t>Dec 2019</t>
  </si>
  <si>
    <t>StrongU STU-U8 Pro</t>
  </si>
  <si>
    <t>Bitmain Antminer S17e (64Th)</t>
  </si>
  <si>
    <t>Bitmain Antminer T17+ (64Th)</t>
  </si>
  <si>
    <t>MicroBT Whatsminer M20S</t>
  </si>
  <si>
    <t>MicroBT Whatsminer M31S</t>
  </si>
  <si>
    <t>Apr 2020</t>
  </si>
  <si>
    <t>Bitmain Antminer S17+ (73Th)</t>
  </si>
  <si>
    <t>ASICminer 8 Nano Pro</t>
  </si>
  <si>
    <t>Bitfury Tardis</t>
  </si>
  <si>
    <t>MicroBT Whatsminer M30S</t>
  </si>
  <si>
    <t>Bitmain Antminer S19 (95Th)</t>
  </si>
  <si>
    <t>May 2020</t>
  </si>
  <si>
    <t>Bitmain Antminer S19 Pro (110Th)</t>
  </si>
  <si>
    <r>
      <t>478</t>
    </r>
    <r>
      <rPr>
        <sz val="8"/>
        <color rgb="FF888888"/>
        <rFont val="Arial"/>
        <family val="2"/>
      </rPr>
      <t>Gh/s</t>
    </r>
  </si>
  <si>
    <r>
      <t>366</t>
    </r>
    <r>
      <rPr>
        <sz val="8"/>
        <color rgb="FF888888"/>
        <rFont val="Arial"/>
        <family val="2"/>
      </rPr>
      <t>W</t>
    </r>
  </si>
  <si>
    <r>
      <t>60</t>
    </r>
    <r>
      <rPr>
        <sz val="8"/>
        <color rgb="FF888888"/>
        <rFont val="Arial"/>
        <family val="2"/>
      </rPr>
      <t>db</t>
    </r>
  </si>
  <si>
    <r>
      <t>-$0.98</t>
    </r>
    <r>
      <rPr>
        <sz val="8"/>
        <color rgb="FF333333"/>
        <rFont val="Arial"/>
        <family val="2"/>
      </rPr>
      <t>/day</t>
    </r>
  </si>
  <si>
    <r>
      <t>1.155</t>
    </r>
    <r>
      <rPr>
        <sz val="8"/>
        <color rgb="FF888888"/>
        <rFont val="Arial"/>
        <family val="2"/>
      </rPr>
      <t>Th/s</t>
    </r>
  </si>
  <si>
    <r>
      <t>590</t>
    </r>
    <r>
      <rPr>
        <sz val="8"/>
        <color rgb="FF888888"/>
        <rFont val="Arial"/>
        <family val="2"/>
      </rPr>
      <t>W</t>
    </r>
  </si>
  <si>
    <r>
      <t>65</t>
    </r>
    <r>
      <rPr>
        <sz val="8"/>
        <color rgb="FF888888"/>
        <rFont val="Arial"/>
        <family val="2"/>
      </rPr>
      <t>db</t>
    </r>
  </si>
  <si>
    <r>
      <t>-$1.51</t>
    </r>
    <r>
      <rPr>
        <sz val="8"/>
        <color rgb="FF333333"/>
        <rFont val="Arial"/>
        <family val="2"/>
      </rPr>
      <t>/day</t>
    </r>
  </si>
  <si>
    <r>
      <t>2.7</t>
    </r>
    <r>
      <rPr>
        <sz val="8"/>
        <color rgb="FF888888"/>
        <rFont val="Arial"/>
        <family val="2"/>
      </rPr>
      <t>Th/s</t>
    </r>
  </si>
  <si>
    <r>
      <t>697</t>
    </r>
    <r>
      <rPr>
        <sz val="8"/>
        <color rgb="FF888888"/>
        <rFont val="Arial"/>
        <family val="2"/>
      </rPr>
      <t>W</t>
    </r>
  </si>
  <si>
    <r>
      <t>48</t>
    </r>
    <r>
      <rPr>
        <sz val="8"/>
        <color rgb="FF888888"/>
        <rFont val="Arial"/>
        <family val="2"/>
      </rPr>
      <t>db</t>
    </r>
  </si>
  <si>
    <r>
      <t>-$1.57</t>
    </r>
    <r>
      <rPr>
        <sz val="8"/>
        <color rgb="FF333333"/>
        <rFont val="Arial"/>
        <family val="2"/>
      </rPr>
      <t>/day</t>
    </r>
  </si>
  <si>
    <r>
      <t>4</t>
    </r>
    <r>
      <rPr>
        <sz val="8"/>
        <color rgb="FF888888"/>
        <rFont val="Arial"/>
        <family val="2"/>
      </rPr>
      <t>Th/s</t>
    </r>
  </si>
  <si>
    <r>
      <t>1027</t>
    </r>
    <r>
      <rPr>
        <sz val="8"/>
        <color rgb="FF888888"/>
        <rFont val="Arial"/>
        <family val="2"/>
      </rPr>
      <t>W</t>
    </r>
  </si>
  <si>
    <r>
      <t>76</t>
    </r>
    <r>
      <rPr>
        <sz val="8"/>
        <color rgb="FF888888"/>
        <rFont val="Arial"/>
        <family val="2"/>
      </rPr>
      <t>db</t>
    </r>
  </si>
  <si>
    <r>
      <t>-$2.32</t>
    </r>
    <r>
      <rPr>
        <sz val="8"/>
        <color rgb="FF333333"/>
        <rFont val="Arial"/>
        <family val="2"/>
      </rPr>
      <t>/day</t>
    </r>
  </si>
  <si>
    <r>
      <t>4.73</t>
    </r>
    <r>
      <rPr>
        <sz val="8"/>
        <color rgb="FF888888"/>
        <rFont val="Arial"/>
        <family val="2"/>
      </rPr>
      <t>Th/s</t>
    </r>
  </si>
  <si>
    <r>
      <t>1293</t>
    </r>
    <r>
      <rPr>
        <sz val="8"/>
        <color rgb="FF888888"/>
        <rFont val="Arial"/>
        <family val="2"/>
      </rPr>
      <t>W</t>
    </r>
  </si>
  <si>
    <r>
      <t>62</t>
    </r>
    <r>
      <rPr>
        <sz val="8"/>
        <color rgb="FF888888"/>
        <rFont val="Arial"/>
        <family val="2"/>
      </rPr>
      <t>db</t>
    </r>
  </si>
  <si>
    <r>
      <t>-$2.96</t>
    </r>
    <r>
      <rPr>
        <sz val="8"/>
        <color rgb="FF333333"/>
        <rFont val="Arial"/>
        <family val="2"/>
      </rPr>
      <t>/day</t>
    </r>
  </si>
  <si>
    <r>
      <t>7.3</t>
    </r>
    <r>
      <rPr>
        <sz val="8"/>
        <color rgb="FF888888"/>
        <rFont val="Arial"/>
        <family val="2"/>
      </rPr>
      <t>Th/s</t>
    </r>
  </si>
  <si>
    <r>
      <t>1150</t>
    </r>
    <r>
      <rPr>
        <sz val="8"/>
        <color rgb="FF888888"/>
        <rFont val="Arial"/>
        <family val="2"/>
      </rPr>
      <t>W</t>
    </r>
  </si>
  <si>
    <r>
      <t>-$2.14</t>
    </r>
    <r>
      <rPr>
        <sz val="8"/>
        <color rgb="FF333333"/>
        <rFont val="Arial"/>
        <family val="2"/>
      </rPr>
      <t>/day</t>
    </r>
  </si>
  <si>
    <r>
      <t>8.5</t>
    </r>
    <r>
      <rPr>
        <sz val="8"/>
        <color rgb="FF888888"/>
        <rFont val="Arial"/>
        <family val="2"/>
      </rPr>
      <t>Th/s</t>
    </r>
  </si>
  <si>
    <r>
      <t>1000</t>
    </r>
    <r>
      <rPr>
        <sz val="8"/>
        <color rgb="FF888888"/>
        <rFont val="Arial"/>
        <family val="2"/>
      </rPr>
      <t>W</t>
    </r>
  </si>
  <si>
    <r>
      <t>72</t>
    </r>
    <r>
      <rPr>
        <sz val="8"/>
        <color rgb="FF888888"/>
        <rFont val="Arial"/>
        <family val="2"/>
      </rPr>
      <t>db</t>
    </r>
  </si>
  <si>
    <r>
      <t>-$1.52</t>
    </r>
    <r>
      <rPr>
        <sz val="8"/>
        <color rgb="FF333333"/>
        <rFont val="Arial"/>
        <family val="2"/>
      </rPr>
      <t>/day</t>
    </r>
  </si>
  <si>
    <r>
      <t>8.7</t>
    </r>
    <r>
      <rPr>
        <sz val="8"/>
        <color rgb="FF888888"/>
        <rFont val="Arial"/>
        <family val="2"/>
      </rPr>
      <t>Th/s</t>
    </r>
  </si>
  <si>
    <r>
      <t>845</t>
    </r>
    <r>
      <rPr>
        <sz val="8"/>
        <color rgb="FF888888"/>
        <rFont val="Arial"/>
        <family val="2"/>
      </rPr>
      <t>W</t>
    </r>
  </si>
  <si>
    <r>
      <t>52</t>
    </r>
    <r>
      <rPr>
        <sz val="8"/>
        <color rgb="FF888888"/>
        <rFont val="Arial"/>
        <family val="2"/>
      </rPr>
      <t>db</t>
    </r>
  </si>
  <si>
    <r>
      <t>-$1.04</t>
    </r>
    <r>
      <rPr>
        <sz val="8"/>
        <color rgb="FF333333"/>
        <rFont val="Arial"/>
        <family val="2"/>
      </rPr>
      <t>/day</t>
    </r>
  </si>
  <si>
    <r>
      <t>9</t>
    </r>
    <r>
      <rPr>
        <sz val="8"/>
        <color rgb="FF888888"/>
        <rFont val="Arial"/>
        <family val="2"/>
      </rPr>
      <t>Th/s</t>
    </r>
  </si>
  <si>
    <r>
      <t>1300</t>
    </r>
    <r>
      <rPr>
        <sz val="8"/>
        <color rgb="FF888888"/>
        <rFont val="Arial"/>
        <family val="2"/>
      </rPr>
      <t>W</t>
    </r>
  </si>
  <si>
    <r>
      <t>75</t>
    </r>
    <r>
      <rPr>
        <sz val="8"/>
        <color rgb="FF888888"/>
        <rFont val="Arial"/>
        <family val="2"/>
      </rPr>
      <t>db</t>
    </r>
  </si>
  <si>
    <r>
      <t>-$2.30</t>
    </r>
    <r>
      <rPr>
        <sz val="8"/>
        <color rgb="FF333333"/>
        <rFont val="Arial"/>
        <family val="2"/>
      </rPr>
      <t>/day</t>
    </r>
  </si>
  <si>
    <r>
      <t>10.5</t>
    </r>
    <r>
      <rPr>
        <sz val="8"/>
        <color rgb="FF888888"/>
        <rFont val="Arial"/>
        <family val="2"/>
      </rPr>
      <t>Th/s</t>
    </r>
  </si>
  <si>
    <r>
      <t>1432</t>
    </r>
    <r>
      <rPr>
        <sz val="8"/>
        <color rgb="FF888888"/>
        <rFont val="Arial"/>
        <family val="2"/>
      </rPr>
      <t>W</t>
    </r>
  </si>
  <si>
    <r>
      <t>-$2.44</t>
    </r>
    <r>
      <rPr>
        <sz val="8"/>
        <color rgb="FF333333"/>
        <rFont val="Arial"/>
        <family val="2"/>
      </rPr>
      <t>/day</t>
    </r>
  </si>
  <si>
    <r>
      <t>11.5</t>
    </r>
    <r>
      <rPr>
        <sz val="8"/>
        <color rgb="FF888888"/>
        <rFont val="Arial"/>
        <family val="2"/>
      </rPr>
      <t>Th/s</t>
    </r>
  </si>
  <si>
    <r>
      <t>1127</t>
    </r>
    <r>
      <rPr>
        <sz val="8"/>
        <color rgb="FF888888"/>
        <rFont val="Arial"/>
        <family val="2"/>
      </rPr>
      <t>W</t>
    </r>
  </si>
  <si>
    <r>
      <t>85</t>
    </r>
    <r>
      <rPr>
        <sz val="8"/>
        <color rgb="FF888888"/>
        <rFont val="Arial"/>
        <family val="2"/>
      </rPr>
      <t>db</t>
    </r>
  </si>
  <si>
    <r>
      <t>-$1.40</t>
    </r>
    <r>
      <rPr>
        <sz val="8"/>
        <color rgb="FF333333"/>
        <rFont val="Arial"/>
        <family val="2"/>
      </rPr>
      <t>/day</t>
    </r>
  </si>
  <si>
    <r>
      <t>1200</t>
    </r>
    <r>
      <rPr>
        <sz val="8"/>
        <color rgb="FF888888"/>
        <rFont val="Arial"/>
        <family val="2"/>
      </rPr>
      <t>W</t>
    </r>
  </si>
  <si>
    <r>
      <t>-$1.61</t>
    </r>
    <r>
      <rPr>
        <sz val="8"/>
        <color rgb="FF333333"/>
        <rFont val="Arial"/>
        <family val="2"/>
      </rPr>
      <t>/day</t>
    </r>
  </si>
  <si>
    <r>
      <t>1450</t>
    </r>
    <r>
      <rPr>
        <sz val="8"/>
        <color rgb="FF888888"/>
        <rFont val="Arial"/>
        <family val="2"/>
      </rPr>
      <t>W</t>
    </r>
  </si>
  <si>
    <r>
      <t>68</t>
    </r>
    <r>
      <rPr>
        <sz val="8"/>
        <color rgb="FF888888"/>
        <rFont val="Arial"/>
        <family val="2"/>
      </rPr>
      <t>db</t>
    </r>
  </si>
  <si>
    <r>
      <t>-$2.33</t>
    </r>
    <r>
      <rPr>
        <sz val="8"/>
        <color rgb="FF333333"/>
        <rFont val="Arial"/>
        <family val="2"/>
      </rPr>
      <t>/day</t>
    </r>
  </si>
  <si>
    <r>
      <t>12</t>
    </r>
    <r>
      <rPr>
        <sz val="8"/>
        <color rgb="FF888888"/>
        <rFont val="Arial"/>
        <family val="2"/>
      </rPr>
      <t>Th/s</t>
    </r>
  </si>
  <si>
    <r>
      <t>1320</t>
    </r>
    <r>
      <rPr>
        <sz val="8"/>
        <color rgb="FF888888"/>
        <rFont val="Arial"/>
        <family val="2"/>
      </rPr>
      <t>W</t>
    </r>
  </si>
  <si>
    <r>
      <t>70</t>
    </r>
    <r>
      <rPr>
        <sz val="8"/>
        <color rgb="FF888888"/>
        <rFont val="Arial"/>
        <family val="2"/>
      </rPr>
      <t>db</t>
    </r>
  </si>
  <si>
    <r>
      <t>-$1.88</t>
    </r>
    <r>
      <rPr>
        <sz val="8"/>
        <color rgb="FF333333"/>
        <rFont val="Arial"/>
        <family val="2"/>
      </rPr>
      <t>/day</t>
    </r>
  </si>
  <si>
    <r>
      <t>2000</t>
    </r>
    <r>
      <rPr>
        <sz val="8"/>
        <color rgb="FF888888"/>
        <rFont val="Arial"/>
        <family val="2"/>
      </rPr>
      <t>W</t>
    </r>
  </si>
  <si>
    <r>
      <t>78</t>
    </r>
    <r>
      <rPr>
        <sz val="8"/>
        <color rgb="FF888888"/>
        <rFont val="Arial"/>
        <family val="2"/>
      </rPr>
      <t>db</t>
    </r>
  </si>
  <si>
    <r>
      <t>-$3.83</t>
    </r>
    <r>
      <rPr>
        <sz val="8"/>
        <color rgb="FF333333"/>
        <rFont val="Arial"/>
        <family val="2"/>
      </rPr>
      <t>/day</t>
    </r>
  </si>
  <si>
    <r>
      <t>12.5</t>
    </r>
    <r>
      <rPr>
        <sz val="8"/>
        <color rgb="FF888888"/>
        <rFont val="Arial"/>
        <family val="2"/>
      </rPr>
      <t>Th/s</t>
    </r>
  </si>
  <si>
    <r>
      <t>1225</t>
    </r>
    <r>
      <rPr>
        <sz val="8"/>
        <color rgb="FF888888"/>
        <rFont val="Arial"/>
        <family val="2"/>
      </rPr>
      <t>W</t>
    </r>
  </si>
  <si>
    <r>
      <t>1576</t>
    </r>
    <r>
      <rPr>
        <sz val="8"/>
        <color rgb="FF888888"/>
        <rFont val="Arial"/>
        <family val="2"/>
      </rPr>
      <t>W</t>
    </r>
  </si>
  <si>
    <r>
      <t>-$2.53</t>
    </r>
    <r>
      <rPr>
        <sz val="8"/>
        <color rgb="FF333333"/>
        <rFont val="Arial"/>
        <family val="2"/>
      </rPr>
      <t>/day</t>
    </r>
  </si>
  <si>
    <r>
      <t>2050</t>
    </r>
    <r>
      <rPr>
        <sz val="8"/>
        <color rgb="FF888888"/>
        <rFont val="Arial"/>
        <family val="2"/>
      </rPr>
      <t>W</t>
    </r>
  </si>
  <si>
    <r>
      <t>-$3.90</t>
    </r>
    <r>
      <rPr>
        <sz val="8"/>
        <color rgb="FF333333"/>
        <rFont val="Arial"/>
        <family val="2"/>
      </rPr>
      <t>/day</t>
    </r>
  </si>
  <si>
    <r>
      <t>13</t>
    </r>
    <r>
      <rPr>
        <sz val="8"/>
        <color rgb="FF888888"/>
        <rFont val="Arial"/>
        <family val="2"/>
      </rPr>
      <t>Th/s</t>
    </r>
  </si>
  <si>
    <r>
      <t>1280</t>
    </r>
    <r>
      <rPr>
        <sz val="8"/>
        <color rgb="FF888888"/>
        <rFont val="Arial"/>
        <family val="2"/>
      </rPr>
      <t>W</t>
    </r>
  </si>
  <si>
    <r>
      <t>-$1.63</t>
    </r>
    <r>
      <rPr>
        <sz val="8"/>
        <color rgb="FF333333"/>
        <rFont val="Arial"/>
        <family val="2"/>
      </rPr>
      <t>/day</t>
    </r>
  </si>
  <si>
    <r>
      <t>-$1.66</t>
    </r>
    <r>
      <rPr>
        <sz val="8"/>
        <color rgb="FF333333"/>
        <rFont val="Arial"/>
        <family val="2"/>
      </rPr>
      <t>/day</t>
    </r>
  </si>
  <si>
    <r>
      <t>13.5</t>
    </r>
    <r>
      <rPr>
        <sz val="8"/>
        <color rgb="FF888888"/>
        <rFont val="Arial"/>
        <family val="2"/>
      </rPr>
      <t>Th/s</t>
    </r>
  </si>
  <si>
    <r>
      <t>1310</t>
    </r>
    <r>
      <rPr>
        <sz val="8"/>
        <color rgb="FF888888"/>
        <rFont val="Arial"/>
        <family val="2"/>
      </rPr>
      <t>W</t>
    </r>
  </si>
  <si>
    <r>
      <t>1323</t>
    </r>
    <r>
      <rPr>
        <sz val="8"/>
        <color rgb="FF888888"/>
        <rFont val="Arial"/>
        <family val="2"/>
      </rPr>
      <t>W</t>
    </r>
  </si>
  <si>
    <r>
      <t>-$1.64</t>
    </r>
    <r>
      <rPr>
        <sz val="8"/>
        <color rgb="FF333333"/>
        <rFont val="Arial"/>
        <family val="2"/>
      </rPr>
      <t>/day</t>
    </r>
  </si>
  <si>
    <r>
      <t>1420</t>
    </r>
    <r>
      <rPr>
        <sz val="8"/>
        <color rgb="FF888888"/>
        <rFont val="Arial"/>
        <family val="2"/>
      </rPr>
      <t>W</t>
    </r>
  </si>
  <si>
    <r>
      <t>74</t>
    </r>
    <r>
      <rPr>
        <sz val="8"/>
        <color rgb="FF888888"/>
        <rFont val="Arial"/>
        <family val="2"/>
      </rPr>
      <t>db</t>
    </r>
  </si>
  <si>
    <r>
      <t>-$1.92</t>
    </r>
    <r>
      <rPr>
        <sz val="8"/>
        <color rgb="FF333333"/>
        <rFont val="Arial"/>
        <family val="2"/>
      </rPr>
      <t>/day</t>
    </r>
  </si>
  <si>
    <r>
      <t>13.6</t>
    </r>
    <r>
      <rPr>
        <sz val="8"/>
        <color rgb="FF888888"/>
        <rFont val="Arial"/>
        <family val="2"/>
      </rPr>
      <t>Th/s</t>
    </r>
  </si>
  <si>
    <r>
      <t>1290</t>
    </r>
    <r>
      <rPr>
        <sz val="8"/>
        <color rgb="FF888888"/>
        <rFont val="Arial"/>
        <family val="2"/>
      </rPr>
      <t>W</t>
    </r>
  </si>
  <si>
    <r>
      <t>-$1.53</t>
    </r>
    <r>
      <rPr>
        <sz val="8"/>
        <color rgb="FF333333"/>
        <rFont val="Arial"/>
        <family val="2"/>
      </rPr>
      <t>/day</t>
    </r>
  </si>
  <si>
    <r>
      <t>14</t>
    </r>
    <r>
      <rPr>
        <sz val="8"/>
        <color rgb="FF888888"/>
        <rFont val="Arial"/>
        <family val="2"/>
      </rPr>
      <t>Th/s</t>
    </r>
  </si>
  <si>
    <r>
      <t>-$1.56</t>
    </r>
    <r>
      <rPr>
        <sz val="8"/>
        <color rgb="FF333333"/>
        <rFont val="Arial"/>
        <family val="2"/>
      </rPr>
      <t>/day</t>
    </r>
  </si>
  <si>
    <r>
      <t>1372</t>
    </r>
    <r>
      <rPr>
        <sz val="8"/>
        <color rgb="FF888888"/>
        <rFont val="Arial"/>
        <family val="2"/>
      </rPr>
      <t>W</t>
    </r>
  </si>
  <si>
    <r>
      <t>-$1.70</t>
    </r>
    <r>
      <rPr>
        <sz val="8"/>
        <color rgb="FF333333"/>
        <rFont val="Arial"/>
        <family val="2"/>
      </rPr>
      <t>/day</t>
    </r>
  </si>
  <si>
    <r>
      <t>14.5</t>
    </r>
    <r>
      <rPr>
        <sz val="8"/>
        <color rgb="FF888888"/>
        <rFont val="Arial"/>
        <family val="2"/>
      </rPr>
      <t>Th/s</t>
    </r>
  </si>
  <si>
    <r>
      <t>1350</t>
    </r>
    <r>
      <rPr>
        <sz val="8"/>
        <color rgb="FF888888"/>
        <rFont val="Arial"/>
        <family val="2"/>
      </rPr>
      <t>W</t>
    </r>
  </si>
  <si>
    <r>
      <t>16</t>
    </r>
    <r>
      <rPr>
        <sz val="8"/>
        <color rgb="FF888888"/>
        <rFont val="Arial"/>
        <family val="2"/>
      </rPr>
      <t>Th/s</t>
    </r>
  </si>
  <si>
    <r>
      <t>-$1.12</t>
    </r>
    <r>
      <rPr>
        <sz val="8"/>
        <color rgb="FF333333"/>
        <rFont val="Arial"/>
        <family val="2"/>
      </rPr>
      <t>/day</t>
    </r>
  </si>
  <si>
    <r>
      <t>1380</t>
    </r>
    <r>
      <rPr>
        <sz val="8"/>
        <color rgb="FF888888"/>
        <rFont val="Arial"/>
        <family val="2"/>
      </rPr>
      <t>W</t>
    </r>
  </si>
  <si>
    <r>
      <t>-$1.41</t>
    </r>
    <r>
      <rPr>
        <sz val="8"/>
        <color rgb="FF333333"/>
        <rFont val="Arial"/>
        <family val="2"/>
      </rPr>
      <t>/day</t>
    </r>
  </si>
  <si>
    <r>
      <t>1400</t>
    </r>
    <r>
      <rPr>
        <sz val="8"/>
        <color rgb="FF888888"/>
        <rFont val="Arial"/>
        <family val="2"/>
      </rPr>
      <t>W</t>
    </r>
  </si>
  <si>
    <r>
      <t>-$1.46</t>
    </r>
    <r>
      <rPr>
        <sz val="8"/>
        <color rgb="FF333333"/>
        <rFont val="Arial"/>
        <family val="2"/>
      </rPr>
      <t>/day</t>
    </r>
  </si>
  <si>
    <r>
      <t>1480</t>
    </r>
    <r>
      <rPr>
        <sz val="8"/>
        <color rgb="FF888888"/>
        <rFont val="Arial"/>
        <family val="2"/>
      </rPr>
      <t>W</t>
    </r>
  </si>
  <si>
    <r>
      <t>1760</t>
    </r>
    <r>
      <rPr>
        <sz val="8"/>
        <color rgb="FF888888"/>
        <rFont val="Arial"/>
        <family val="2"/>
      </rPr>
      <t>W</t>
    </r>
  </si>
  <si>
    <r>
      <t>-$2.50</t>
    </r>
    <r>
      <rPr>
        <sz val="8"/>
        <color rgb="FF333333"/>
        <rFont val="Arial"/>
        <family val="2"/>
      </rPr>
      <t>/day</t>
    </r>
  </si>
  <si>
    <r>
      <t>17.2</t>
    </r>
    <r>
      <rPr>
        <sz val="8"/>
        <color rgb="FF888888"/>
        <rFont val="Arial"/>
        <family val="2"/>
      </rPr>
      <t>Th/s</t>
    </r>
  </si>
  <si>
    <r>
      <t>1570</t>
    </r>
    <r>
      <rPr>
        <sz val="8"/>
        <color rgb="FF888888"/>
        <rFont val="Arial"/>
        <family val="2"/>
      </rPr>
      <t>W</t>
    </r>
  </si>
  <si>
    <r>
      <t>-$1.76</t>
    </r>
    <r>
      <rPr>
        <sz val="8"/>
        <color rgb="FF333333"/>
        <rFont val="Arial"/>
        <family val="2"/>
      </rPr>
      <t>/day</t>
    </r>
  </si>
  <si>
    <r>
      <t>18</t>
    </r>
    <r>
      <rPr>
        <sz val="8"/>
        <color rgb="FF888888"/>
        <rFont val="Arial"/>
        <family val="2"/>
      </rPr>
      <t>Th/s</t>
    </r>
  </si>
  <si>
    <r>
      <t>1650</t>
    </r>
    <r>
      <rPr>
        <sz val="8"/>
        <color rgb="FF888888"/>
        <rFont val="Arial"/>
        <family val="2"/>
      </rPr>
      <t>W</t>
    </r>
  </si>
  <si>
    <r>
      <t>-$1.86</t>
    </r>
    <r>
      <rPr>
        <sz val="8"/>
        <color rgb="FF333333"/>
        <rFont val="Arial"/>
        <family val="2"/>
      </rPr>
      <t>/day</t>
    </r>
  </si>
  <si>
    <r>
      <t>1728</t>
    </r>
    <r>
      <rPr>
        <sz val="8"/>
        <color rgb="FF888888"/>
        <rFont val="Arial"/>
        <family val="2"/>
      </rPr>
      <t>W</t>
    </r>
  </si>
  <si>
    <r>
      <t>45</t>
    </r>
    <r>
      <rPr>
        <sz val="8"/>
        <color rgb="FF888888"/>
        <rFont val="Arial"/>
        <family val="2"/>
      </rPr>
      <t>db</t>
    </r>
  </si>
  <si>
    <r>
      <t>-$2.09</t>
    </r>
    <r>
      <rPr>
        <sz val="8"/>
        <color rgb="FF333333"/>
        <rFont val="Arial"/>
        <family val="2"/>
      </rPr>
      <t>/day</t>
    </r>
  </si>
  <si>
    <r>
      <t>20</t>
    </r>
    <r>
      <rPr>
        <sz val="8"/>
        <color rgb="FF888888"/>
        <rFont val="Arial"/>
        <family val="2"/>
      </rPr>
      <t>Th/s</t>
    </r>
  </si>
  <si>
    <r>
      <t>1700</t>
    </r>
    <r>
      <rPr>
        <sz val="8"/>
        <color rgb="FF888888"/>
        <rFont val="Arial"/>
        <family val="2"/>
      </rPr>
      <t>W</t>
    </r>
  </si>
  <si>
    <r>
      <t>-$1.69</t>
    </r>
    <r>
      <rPr>
        <sz val="8"/>
        <color rgb="FF333333"/>
        <rFont val="Arial"/>
        <family val="2"/>
      </rPr>
      <t>/day</t>
    </r>
  </si>
  <si>
    <r>
      <t>20.5</t>
    </r>
    <r>
      <rPr>
        <sz val="8"/>
        <color rgb="FF888888"/>
        <rFont val="Arial"/>
        <family val="2"/>
      </rPr>
      <t>Th/s</t>
    </r>
  </si>
  <si>
    <r>
      <t>1530</t>
    </r>
    <r>
      <rPr>
        <sz val="8"/>
        <color rgb="FF888888"/>
        <rFont val="Arial"/>
        <family val="2"/>
      </rPr>
      <t>W</t>
    </r>
  </si>
  <si>
    <r>
      <t>22</t>
    </r>
    <r>
      <rPr>
        <sz val="8"/>
        <color rgb="FF888888"/>
        <rFont val="Arial"/>
        <family val="2"/>
      </rPr>
      <t>Th/s</t>
    </r>
  </si>
  <si>
    <r>
      <t>-$1.08</t>
    </r>
    <r>
      <rPr>
        <sz val="8"/>
        <color rgb="FF333333"/>
        <rFont val="Arial"/>
        <family val="2"/>
      </rPr>
      <t>/day</t>
    </r>
  </si>
  <si>
    <r>
      <t>24</t>
    </r>
    <r>
      <rPr>
        <sz val="8"/>
        <color rgb="FF888888"/>
        <rFont val="Arial"/>
        <family val="2"/>
      </rPr>
      <t>Th/s</t>
    </r>
  </si>
  <si>
    <r>
      <t>1950</t>
    </r>
    <r>
      <rPr>
        <sz val="8"/>
        <color rgb="FF888888"/>
        <rFont val="Arial"/>
        <family val="2"/>
      </rPr>
      <t>W</t>
    </r>
  </si>
  <si>
    <r>
      <t>1980</t>
    </r>
    <r>
      <rPr>
        <sz val="8"/>
        <color rgb="FF888888"/>
        <rFont val="Arial"/>
        <family val="2"/>
      </rPr>
      <t>W</t>
    </r>
  </si>
  <si>
    <r>
      <t>-$1.85</t>
    </r>
    <r>
      <rPr>
        <sz val="8"/>
        <color rgb="FF333333"/>
        <rFont val="Arial"/>
        <family val="2"/>
      </rPr>
      <t>/day</t>
    </r>
  </si>
  <si>
    <r>
      <t>24.5</t>
    </r>
    <r>
      <rPr>
        <sz val="8"/>
        <color rgb="FF888888"/>
        <rFont val="Arial"/>
        <family val="2"/>
      </rPr>
      <t>Th/s</t>
    </r>
  </si>
  <si>
    <r>
      <t>2100</t>
    </r>
    <r>
      <rPr>
        <sz val="8"/>
        <color rgb="FF888888"/>
        <rFont val="Arial"/>
        <family val="2"/>
      </rPr>
      <t>W</t>
    </r>
  </si>
  <si>
    <r>
      <t>-$2.12</t>
    </r>
    <r>
      <rPr>
        <sz val="8"/>
        <color rgb="FF333333"/>
        <rFont val="Arial"/>
        <family val="2"/>
      </rPr>
      <t>/day</t>
    </r>
  </si>
  <si>
    <r>
      <t>28</t>
    </r>
    <r>
      <rPr>
        <sz val="8"/>
        <color rgb="FF888888"/>
        <rFont val="Arial"/>
        <family val="2"/>
      </rPr>
      <t>Th/s</t>
    </r>
  </si>
  <si>
    <r>
      <t>30</t>
    </r>
    <r>
      <rPr>
        <sz val="8"/>
        <color rgb="FF888888"/>
        <rFont val="Arial"/>
        <family val="2"/>
      </rPr>
      <t>Th/s</t>
    </r>
  </si>
  <si>
    <r>
      <t>-$0.80</t>
    </r>
    <r>
      <rPr>
        <sz val="8"/>
        <color rgb="FF333333"/>
        <rFont val="Arial"/>
        <family val="2"/>
      </rPr>
      <t>/day</t>
    </r>
  </si>
  <si>
    <r>
      <t>31</t>
    </r>
    <r>
      <rPr>
        <sz val="8"/>
        <color rgb="FF888888"/>
        <rFont val="Arial"/>
        <family val="2"/>
      </rPr>
      <t>Th/s</t>
    </r>
  </si>
  <si>
    <r>
      <t>1860</t>
    </r>
    <r>
      <rPr>
        <sz val="8"/>
        <color rgb="FF888888"/>
        <rFont val="Arial"/>
        <family val="2"/>
      </rPr>
      <t>W</t>
    </r>
  </si>
  <si>
    <r>
      <t>-$0.38</t>
    </r>
    <r>
      <rPr>
        <sz val="8"/>
        <color rgb="FF333333"/>
        <rFont val="Arial"/>
        <family val="2"/>
      </rPr>
      <t>/day</t>
    </r>
  </si>
  <si>
    <r>
      <t>32</t>
    </r>
    <r>
      <rPr>
        <sz val="8"/>
        <color rgb="FF888888"/>
        <rFont val="Arial"/>
        <family val="2"/>
      </rPr>
      <t>Th/s</t>
    </r>
  </si>
  <si>
    <r>
      <t>2200</t>
    </r>
    <r>
      <rPr>
        <sz val="8"/>
        <color rgb="FF888888"/>
        <rFont val="Arial"/>
        <family val="2"/>
      </rPr>
      <t>W</t>
    </r>
  </si>
  <si>
    <r>
      <t>-$1.20</t>
    </r>
    <r>
      <rPr>
        <sz val="8"/>
        <color rgb="FF333333"/>
        <rFont val="Arial"/>
        <family val="2"/>
      </rPr>
      <t>/day</t>
    </r>
  </si>
  <si>
    <r>
      <t>33</t>
    </r>
    <r>
      <rPr>
        <sz val="8"/>
        <color rgb="FF888888"/>
        <rFont val="Arial"/>
        <family val="2"/>
      </rPr>
      <t>Th/s</t>
    </r>
  </si>
  <si>
    <r>
      <t>2145</t>
    </r>
    <r>
      <rPr>
        <sz val="8"/>
        <color rgb="FF888888"/>
        <rFont val="Arial"/>
        <family val="2"/>
      </rPr>
      <t>W</t>
    </r>
  </si>
  <si>
    <r>
      <t>-$0.88</t>
    </r>
    <r>
      <rPr>
        <sz val="8"/>
        <color rgb="FF333333"/>
        <rFont val="Arial"/>
        <family val="2"/>
      </rPr>
      <t>/day</t>
    </r>
  </si>
  <si>
    <r>
      <t>3417</t>
    </r>
    <r>
      <rPr>
        <sz val="8"/>
        <color rgb="FF888888"/>
        <rFont val="Arial"/>
        <family val="2"/>
      </rPr>
      <t>W</t>
    </r>
  </si>
  <si>
    <r>
      <t>-$4.55</t>
    </r>
    <r>
      <rPr>
        <sz val="8"/>
        <color rgb="FF333333"/>
        <rFont val="Arial"/>
        <family val="2"/>
      </rPr>
      <t>/day</t>
    </r>
  </si>
  <si>
    <r>
      <t>34</t>
    </r>
    <r>
      <rPr>
        <sz val="8"/>
        <color rgb="FF888888"/>
        <rFont val="Arial"/>
        <family val="2"/>
      </rPr>
      <t>Th/s</t>
    </r>
  </si>
  <si>
    <r>
      <t>5000</t>
    </r>
    <r>
      <rPr>
        <sz val="8"/>
        <color rgb="FF888888"/>
        <rFont val="Arial"/>
        <family val="2"/>
      </rPr>
      <t>W</t>
    </r>
  </si>
  <si>
    <r>
      <t>-$8.94</t>
    </r>
    <r>
      <rPr>
        <sz val="8"/>
        <color rgb="FF333333"/>
        <rFont val="Arial"/>
        <family val="2"/>
      </rPr>
      <t>/day</t>
    </r>
  </si>
  <si>
    <r>
      <t>37</t>
    </r>
    <r>
      <rPr>
        <sz val="8"/>
        <color rgb="FF888888"/>
        <rFont val="Arial"/>
        <family val="2"/>
      </rPr>
      <t>Th/s</t>
    </r>
  </si>
  <si>
    <r>
      <t>2035</t>
    </r>
    <r>
      <rPr>
        <sz val="8"/>
        <color rgb="FF888888"/>
        <rFont val="Arial"/>
        <family val="2"/>
      </rPr>
      <t>W</t>
    </r>
  </si>
  <si>
    <r>
      <t>$0.08</t>
    </r>
    <r>
      <rPr>
        <sz val="8"/>
        <color rgb="FF333333"/>
        <rFont val="Arial"/>
        <family val="2"/>
      </rPr>
      <t>/day</t>
    </r>
  </si>
  <si>
    <r>
      <t>2380</t>
    </r>
    <r>
      <rPr>
        <sz val="8"/>
        <color rgb="FF888888"/>
        <rFont val="Arial"/>
        <family val="2"/>
      </rPr>
      <t>W</t>
    </r>
  </si>
  <si>
    <r>
      <t>-$0.92</t>
    </r>
    <r>
      <rPr>
        <sz val="8"/>
        <color rgb="FF333333"/>
        <rFont val="Arial"/>
        <family val="2"/>
      </rPr>
      <t>/day</t>
    </r>
  </si>
  <si>
    <r>
      <t>39</t>
    </r>
    <r>
      <rPr>
        <sz val="8"/>
        <color rgb="FF888888"/>
        <rFont val="Arial"/>
        <family val="2"/>
      </rPr>
      <t>Th/s</t>
    </r>
  </si>
  <si>
    <r>
      <t>2150</t>
    </r>
    <r>
      <rPr>
        <sz val="8"/>
        <color rgb="FF888888"/>
        <rFont val="Arial"/>
        <family val="2"/>
      </rPr>
      <t>W</t>
    </r>
  </si>
  <si>
    <r>
      <t>$0.07</t>
    </r>
    <r>
      <rPr>
        <sz val="8"/>
        <color rgb="FF333333"/>
        <rFont val="Arial"/>
        <family val="2"/>
      </rPr>
      <t>/day</t>
    </r>
  </si>
  <si>
    <r>
      <t>40</t>
    </r>
    <r>
      <rPr>
        <sz val="8"/>
        <color rgb="FF888888"/>
        <rFont val="Arial"/>
        <family val="2"/>
      </rPr>
      <t>Th/s</t>
    </r>
  </si>
  <si>
    <r>
      <t>82</t>
    </r>
    <r>
      <rPr>
        <sz val="8"/>
        <color rgb="FF888888"/>
        <rFont val="Arial"/>
        <family val="2"/>
      </rPr>
      <t>db</t>
    </r>
  </si>
  <si>
    <r>
      <t>43</t>
    </r>
    <r>
      <rPr>
        <sz val="8"/>
        <color rgb="FF888888"/>
        <rFont val="Arial"/>
        <family val="2"/>
      </rPr>
      <t>Th/s</t>
    </r>
  </si>
  <si>
    <r>
      <t>$0.85</t>
    </r>
    <r>
      <rPr>
        <sz val="8"/>
        <color rgb="FF333333"/>
        <rFont val="Arial"/>
        <family val="2"/>
      </rPr>
      <t>/day</t>
    </r>
  </si>
  <si>
    <r>
      <t>44</t>
    </r>
    <r>
      <rPr>
        <sz val="8"/>
        <color rgb="FF888888"/>
        <rFont val="Arial"/>
        <family val="2"/>
      </rPr>
      <t>Th/s</t>
    </r>
  </si>
  <si>
    <r>
      <t>$1.36</t>
    </r>
    <r>
      <rPr>
        <sz val="8"/>
        <color rgb="FF333333"/>
        <rFont val="Arial"/>
        <family val="2"/>
      </rPr>
      <t>/day</t>
    </r>
  </si>
  <si>
    <r>
      <t>47</t>
    </r>
    <r>
      <rPr>
        <sz val="8"/>
        <color rgb="FF888888"/>
        <rFont val="Arial"/>
        <family val="2"/>
      </rPr>
      <t>db</t>
    </r>
  </si>
  <si>
    <r>
      <t>$1.01</t>
    </r>
    <r>
      <rPr>
        <sz val="8"/>
        <color rgb="FF333333"/>
        <rFont val="Arial"/>
        <family val="2"/>
      </rPr>
      <t>/day</t>
    </r>
  </si>
  <si>
    <r>
      <t>2500</t>
    </r>
    <r>
      <rPr>
        <sz val="8"/>
        <color rgb="FF888888"/>
        <rFont val="Arial"/>
        <family val="2"/>
      </rPr>
      <t>W</t>
    </r>
  </si>
  <si>
    <r>
      <t>-$0.14</t>
    </r>
    <r>
      <rPr>
        <sz val="8"/>
        <color rgb="FF333333"/>
        <rFont val="Arial"/>
        <family val="2"/>
      </rPr>
      <t>/day</t>
    </r>
  </si>
  <si>
    <r>
      <t>46</t>
    </r>
    <r>
      <rPr>
        <sz val="8"/>
        <color rgb="FF888888"/>
        <rFont val="Arial"/>
        <family val="2"/>
      </rPr>
      <t>Th/s</t>
    </r>
  </si>
  <si>
    <r>
      <t>$1.33</t>
    </r>
    <r>
      <rPr>
        <sz val="8"/>
        <color rgb="FF333333"/>
        <rFont val="Arial"/>
        <family val="2"/>
      </rPr>
      <t>/day</t>
    </r>
  </si>
  <si>
    <r>
      <t>49</t>
    </r>
    <r>
      <rPr>
        <sz val="8"/>
        <color rgb="FF888888"/>
        <rFont val="Arial"/>
        <family val="2"/>
      </rPr>
      <t>Th/s</t>
    </r>
  </si>
  <si>
    <r>
      <t>5400</t>
    </r>
    <r>
      <rPr>
        <sz val="8"/>
        <color rgb="FF888888"/>
        <rFont val="Arial"/>
        <family val="2"/>
      </rPr>
      <t>W</t>
    </r>
  </si>
  <si>
    <r>
      <t>-$7.69</t>
    </r>
    <r>
      <rPr>
        <sz val="8"/>
        <color rgb="FF333333"/>
        <rFont val="Arial"/>
        <family val="2"/>
      </rPr>
      <t>/day</t>
    </r>
  </si>
  <si>
    <r>
      <t>6400</t>
    </r>
    <r>
      <rPr>
        <sz val="8"/>
        <color rgb="FF888888"/>
        <rFont val="Arial"/>
        <family val="2"/>
      </rPr>
      <t>W</t>
    </r>
  </si>
  <si>
    <r>
      <t>-$10.57</t>
    </r>
    <r>
      <rPr>
        <sz val="8"/>
        <color rgb="FF333333"/>
        <rFont val="Arial"/>
        <family val="2"/>
      </rPr>
      <t>/day</t>
    </r>
  </si>
  <si>
    <r>
      <t>50</t>
    </r>
    <r>
      <rPr>
        <sz val="8"/>
        <color rgb="FF888888"/>
        <rFont val="Arial"/>
        <family val="2"/>
      </rPr>
      <t>Th/s</t>
    </r>
  </si>
  <si>
    <r>
      <t>1975</t>
    </r>
    <r>
      <rPr>
        <sz val="8"/>
        <color rgb="FF888888"/>
        <rFont val="Arial"/>
        <family val="2"/>
      </rPr>
      <t>W</t>
    </r>
  </si>
  <si>
    <r>
      <t>$2.34</t>
    </r>
    <r>
      <rPr>
        <sz val="8"/>
        <color rgb="FF333333"/>
        <rFont val="Arial"/>
        <family val="2"/>
      </rPr>
      <t>/day</t>
    </r>
  </si>
  <si>
    <r>
      <t>$0.82</t>
    </r>
    <r>
      <rPr>
        <sz val="8"/>
        <color rgb="FF333333"/>
        <rFont val="Arial"/>
        <family val="2"/>
      </rPr>
      <t>/day</t>
    </r>
  </si>
  <si>
    <r>
      <t>3100</t>
    </r>
    <r>
      <rPr>
        <sz val="8"/>
        <color rgb="FF888888"/>
        <rFont val="Arial"/>
        <family val="2"/>
      </rPr>
      <t>W</t>
    </r>
  </si>
  <si>
    <r>
      <t>-$0.90</t>
    </r>
    <r>
      <rPr>
        <sz val="8"/>
        <color rgb="FF333333"/>
        <rFont val="Arial"/>
        <family val="2"/>
      </rPr>
      <t>/day</t>
    </r>
  </si>
  <si>
    <r>
      <t>3250</t>
    </r>
    <r>
      <rPr>
        <sz val="8"/>
        <color rgb="FF888888"/>
        <rFont val="Arial"/>
        <family val="2"/>
      </rPr>
      <t>W</t>
    </r>
  </si>
  <si>
    <r>
      <t>-$1.34</t>
    </r>
    <r>
      <rPr>
        <sz val="8"/>
        <color rgb="FF333333"/>
        <rFont val="Arial"/>
        <family val="2"/>
      </rPr>
      <t>/day</t>
    </r>
  </si>
  <si>
    <r>
      <t>52</t>
    </r>
    <r>
      <rPr>
        <sz val="8"/>
        <color rgb="FF888888"/>
        <rFont val="Arial"/>
        <family val="2"/>
      </rPr>
      <t>Th/s</t>
    </r>
  </si>
  <si>
    <r>
      <t>2800</t>
    </r>
    <r>
      <rPr>
        <sz val="8"/>
        <color rgb="FF888888"/>
        <rFont val="Arial"/>
        <family val="2"/>
      </rPr>
      <t>W</t>
    </r>
  </si>
  <si>
    <r>
      <t>$2.01</t>
    </r>
    <r>
      <rPr>
        <sz val="8"/>
        <color rgb="FF333333"/>
        <rFont val="Arial"/>
        <family val="2"/>
      </rPr>
      <t>/day</t>
    </r>
  </si>
  <si>
    <r>
      <t>53</t>
    </r>
    <r>
      <rPr>
        <sz val="8"/>
        <color rgb="FF888888"/>
        <rFont val="Arial"/>
        <family val="2"/>
      </rPr>
      <t>Th/s</t>
    </r>
  </si>
  <si>
    <r>
      <t>2094</t>
    </r>
    <r>
      <rPr>
        <sz val="8"/>
        <color rgb="FF888888"/>
        <rFont val="Arial"/>
        <family val="2"/>
      </rPr>
      <t>W</t>
    </r>
  </si>
  <si>
    <r>
      <t>$2.47</t>
    </r>
    <r>
      <rPr>
        <sz val="8"/>
        <color rgb="FF333333"/>
        <rFont val="Arial"/>
        <family val="2"/>
      </rPr>
      <t>/day</t>
    </r>
  </si>
  <si>
    <r>
      <t>2385</t>
    </r>
    <r>
      <rPr>
        <sz val="8"/>
        <color rgb="FF888888"/>
        <rFont val="Arial"/>
        <family val="2"/>
      </rPr>
      <t>W</t>
    </r>
  </si>
  <si>
    <r>
      <t>$1.64</t>
    </r>
    <r>
      <rPr>
        <sz val="8"/>
        <color rgb="FF333333"/>
        <rFont val="Arial"/>
        <family val="2"/>
      </rPr>
      <t>/day</t>
    </r>
  </si>
  <si>
    <r>
      <t>2915</t>
    </r>
    <r>
      <rPr>
        <sz val="8"/>
        <color rgb="FF888888"/>
        <rFont val="Arial"/>
        <family val="2"/>
      </rPr>
      <t>W</t>
    </r>
  </si>
  <si>
    <r>
      <t>80</t>
    </r>
    <r>
      <rPr>
        <sz val="8"/>
        <color rgb="FF888888"/>
        <rFont val="Arial"/>
        <family val="2"/>
      </rPr>
      <t>db</t>
    </r>
  </si>
  <si>
    <r>
      <t>$0.11</t>
    </r>
    <r>
      <rPr>
        <sz val="8"/>
        <color rgb="FF333333"/>
        <rFont val="Arial"/>
        <family val="2"/>
      </rPr>
      <t>/day</t>
    </r>
  </si>
  <si>
    <r>
      <t>55</t>
    </r>
    <r>
      <rPr>
        <sz val="8"/>
        <color rgb="FF888888"/>
        <rFont val="Arial"/>
        <family val="2"/>
      </rPr>
      <t>Th/s</t>
    </r>
  </si>
  <si>
    <r>
      <t>3500</t>
    </r>
    <r>
      <rPr>
        <sz val="8"/>
        <color rgb="FF888888"/>
        <rFont val="Arial"/>
        <family val="2"/>
      </rPr>
      <t>W</t>
    </r>
  </si>
  <si>
    <r>
      <t>-$1.25</t>
    </r>
    <r>
      <rPr>
        <sz val="8"/>
        <color rgb="FF333333"/>
        <rFont val="Arial"/>
        <family val="2"/>
      </rPr>
      <t>/day</t>
    </r>
  </si>
  <si>
    <r>
      <t>56</t>
    </r>
    <r>
      <rPr>
        <sz val="8"/>
        <color rgb="FF888888"/>
        <rFont val="Arial"/>
        <family val="2"/>
      </rPr>
      <t>Th/s</t>
    </r>
  </si>
  <si>
    <r>
      <t>2520</t>
    </r>
    <r>
      <rPr>
        <sz val="8"/>
        <color rgb="FF888888"/>
        <rFont val="Arial"/>
        <family val="2"/>
      </rPr>
      <t>W</t>
    </r>
  </si>
  <si>
    <r>
      <t>$1.73</t>
    </r>
    <r>
      <rPr>
        <sz val="8"/>
        <color rgb="FF333333"/>
        <rFont val="Arial"/>
        <family val="2"/>
      </rPr>
      <t>/day</t>
    </r>
  </si>
  <si>
    <r>
      <t>3360</t>
    </r>
    <r>
      <rPr>
        <sz val="8"/>
        <color rgb="FF888888"/>
        <rFont val="Arial"/>
        <family val="2"/>
      </rPr>
      <t>W</t>
    </r>
  </si>
  <si>
    <r>
      <t>-$0.69</t>
    </r>
    <r>
      <rPr>
        <sz val="8"/>
        <color rgb="FF333333"/>
        <rFont val="Arial"/>
        <family val="2"/>
      </rPr>
      <t>/day</t>
    </r>
  </si>
  <si>
    <r>
      <t>57</t>
    </r>
    <r>
      <rPr>
        <sz val="8"/>
        <color rgb="FF888888"/>
        <rFont val="Arial"/>
        <family val="2"/>
      </rPr>
      <t>Th/s</t>
    </r>
  </si>
  <si>
    <r>
      <t>3300</t>
    </r>
    <r>
      <rPr>
        <sz val="8"/>
        <color rgb="FF888888"/>
        <rFont val="Arial"/>
        <family val="2"/>
      </rPr>
      <t>W</t>
    </r>
  </si>
  <si>
    <r>
      <t>-$0.36</t>
    </r>
    <r>
      <rPr>
        <sz val="8"/>
        <color rgb="FF333333"/>
        <rFont val="Arial"/>
        <family val="2"/>
      </rPr>
      <t>/day</t>
    </r>
  </si>
  <si>
    <r>
      <t>58</t>
    </r>
    <r>
      <rPr>
        <sz val="8"/>
        <color rgb="FF888888"/>
        <rFont val="Arial"/>
        <family val="2"/>
      </rPr>
      <t>Th/s</t>
    </r>
  </si>
  <si>
    <r>
      <t>$2.11</t>
    </r>
    <r>
      <rPr>
        <sz val="8"/>
        <color rgb="FF333333"/>
        <rFont val="Arial"/>
        <family val="2"/>
      </rPr>
      <t>/day</t>
    </r>
  </si>
  <si>
    <r>
      <t>60</t>
    </r>
    <r>
      <rPr>
        <sz val="8"/>
        <color rgb="FF888888"/>
        <rFont val="Arial"/>
        <family val="2"/>
      </rPr>
      <t>Th/s</t>
    </r>
  </si>
  <si>
    <r>
      <t>$1.56</t>
    </r>
    <r>
      <rPr>
        <sz val="8"/>
        <color rgb="FF333333"/>
        <rFont val="Arial"/>
        <family val="2"/>
      </rPr>
      <t>/day</t>
    </r>
  </si>
  <si>
    <r>
      <t>64</t>
    </r>
    <r>
      <rPr>
        <sz val="8"/>
        <color rgb="FF888888"/>
        <rFont val="Arial"/>
        <family val="2"/>
      </rPr>
      <t>Th/s</t>
    </r>
  </si>
  <si>
    <r>
      <t>2880</t>
    </r>
    <r>
      <rPr>
        <sz val="8"/>
        <color rgb="FF888888"/>
        <rFont val="Arial"/>
        <family val="2"/>
      </rPr>
      <t>W</t>
    </r>
  </si>
  <si>
    <r>
      <t>$1.98</t>
    </r>
    <r>
      <rPr>
        <sz val="8"/>
        <color rgb="FF333333"/>
        <rFont val="Arial"/>
        <family val="2"/>
      </rPr>
      <t>/day</t>
    </r>
  </si>
  <si>
    <r>
      <t>3200</t>
    </r>
    <r>
      <rPr>
        <sz val="8"/>
        <color rgb="FF888888"/>
        <rFont val="Arial"/>
        <family val="2"/>
      </rPr>
      <t>W</t>
    </r>
  </si>
  <si>
    <r>
      <t>$1.05</t>
    </r>
    <r>
      <rPr>
        <sz val="8"/>
        <color rgb="FF333333"/>
        <rFont val="Arial"/>
        <family val="2"/>
      </rPr>
      <t>/day</t>
    </r>
  </si>
  <si>
    <r>
      <t>68</t>
    </r>
    <r>
      <rPr>
        <sz val="8"/>
        <color rgb="FF888888"/>
        <rFont val="Arial"/>
        <family val="2"/>
      </rPr>
      <t>Th/s</t>
    </r>
  </si>
  <si>
    <r>
      <t>$1.23</t>
    </r>
    <r>
      <rPr>
        <sz val="8"/>
        <color rgb="FF333333"/>
        <rFont val="Arial"/>
        <family val="2"/>
      </rPr>
      <t>/day</t>
    </r>
  </si>
  <si>
    <r>
      <t>70</t>
    </r>
    <r>
      <rPr>
        <sz val="8"/>
        <color rgb="FF888888"/>
        <rFont val="Arial"/>
        <family val="2"/>
      </rPr>
      <t>Th/s</t>
    </r>
  </si>
  <si>
    <r>
      <t>3220</t>
    </r>
    <r>
      <rPr>
        <sz val="8"/>
        <color rgb="FF888888"/>
        <rFont val="Arial"/>
        <family val="2"/>
      </rPr>
      <t>W</t>
    </r>
  </si>
  <si>
    <r>
      <t>$1.96</t>
    </r>
    <r>
      <rPr>
        <sz val="8"/>
        <color rgb="FF333333"/>
        <rFont val="Arial"/>
        <family val="2"/>
      </rPr>
      <t>/day</t>
    </r>
  </si>
  <si>
    <r>
      <t>73</t>
    </r>
    <r>
      <rPr>
        <sz val="8"/>
        <color rgb="FF888888"/>
        <rFont val="Arial"/>
        <family val="2"/>
      </rPr>
      <t>Th/s</t>
    </r>
  </si>
  <si>
    <r>
      <t>2920</t>
    </r>
    <r>
      <rPr>
        <sz val="8"/>
        <color rgb="FF888888"/>
        <rFont val="Arial"/>
        <family val="2"/>
      </rPr>
      <t>W</t>
    </r>
  </si>
  <si>
    <r>
      <t>$3.30</t>
    </r>
    <r>
      <rPr>
        <sz val="8"/>
        <color rgb="FF333333"/>
        <rFont val="Arial"/>
        <family val="2"/>
      </rPr>
      <t>/day</t>
    </r>
  </si>
  <si>
    <r>
      <t>76</t>
    </r>
    <r>
      <rPr>
        <sz val="8"/>
        <color rgb="FF888888"/>
        <rFont val="Arial"/>
        <family val="2"/>
      </rPr>
      <t>Th/s</t>
    </r>
  </si>
  <si>
    <r>
      <t>4000</t>
    </r>
    <r>
      <rPr>
        <sz val="8"/>
        <color rgb="FF888888"/>
        <rFont val="Arial"/>
        <family val="2"/>
      </rPr>
      <t>W</t>
    </r>
  </si>
  <si>
    <r>
      <t>$0.68</t>
    </r>
    <r>
      <rPr>
        <sz val="8"/>
        <color rgb="FF333333"/>
        <rFont val="Arial"/>
        <family val="2"/>
      </rPr>
      <t>/day</t>
    </r>
  </si>
  <si>
    <r>
      <t>80</t>
    </r>
    <r>
      <rPr>
        <sz val="8"/>
        <color rgb="FF888888"/>
        <rFont val="Arial"/>
        <family val="2"/>
      </rPr>
      <t>Th/s</t>
    </r>
  </si>
  <si>
    <r>
      <t>6300</t>
    </r>
    <r>
      <rPr>
        <sz val="8"/>
        <color rgb="FF888888"/>
        <rFont val="Arial"/>
        <family val="2"/>
      </rPr>
      <t>W</t>
    </r>
  </si>
  <si>
    <r>
      <t>-$5.31</t>
    </r>
    <r>
      <rPr>
        <sz val="8"/>
        <color rgb="FF333333"/>
        <rFont val="Arial"/>
        <family val="2"/>
      </rPr>
      <t>/day</t>
    </r>
  </si>
  <si>
    <r>
      <t>86</t>
    </r>
    <r>
      <rPr>
        <sz val="8"/>
        <color rgb="FF888888"/>
        <rFont val="Arial"/>
        <family val="2"/>
      </rPr>
      <t>Th/s</t>
    </r>
  </si>
  <si>
    <r>
      <t>3268</t>
    </r>
    <r>
      <rPr>
        <sz val="8"/>
        <color rgb="FF888888"/>
        <rFont val="Arial"/>
        <family val="2"/>
      </rPr>
      <t>W</t>
    </r>
  </si>
  <si>
    <r>
      <t>$4.39</t>
    </r>
    <r>
      <rPr>
        <sz val="8"/>
        <color rgb="FF333333"/>
        <rFont val="Arial"/>
        <family val="2"/>
      </rPr>
      <t>/day</t>
    </r>
  </si>
  <si>
    <r>
      <t>95</t>
    </r>
    <r>
      <rPr>
        <sz val="8"/>
        <color rgb="FF888888"/>
        <rFont val="Arial"/>
        <family val="2"/>
      </rPr>
      <t>Th/s</t>
    </r>
  </si>
  <si>
    <r>
      <t>$5.88</t>
    </r>
    <r>
      <rPr>
        <sz val="8"/>
        <color rgb="FF333333"/>
        <rFont val="Arial"/>
        <family val="2"/>
      </rPr>
      <t>/day</t>
    </r>
  </si>
  <si>
    <r>
      <t>110</t>
    </r>
    <r>
      <rPr>
        <sz val="8"/>
        <color rgb="FF888888"/>
        <rFont val="Arial"/>
        <family val="2"/>
      </rPr>
      <t>Th/s</t>
    </r>
  </si>
  <si>
    <r>
      <t>$8.29</t>
    </r>
    <r>
      <rPr>
        <sz val="8"/>
        <color rgb="FF333333"/>
        <rFont val="Arial"/>
        <family val="2"/>
      </rPr>
      <t>/day</t>
    </r>
  </si>
  <si>
    <t>Th/s</t>
  </si>
  <si>
    <t>TH/kWh</t>
  </si>
  <si>
    <t>Month</t>
  </si>
  <si>
    <t>date</t>
  </si>
  <si>
    <t>model</t>
  </si>
  <si>
    <t>asic</t>
  </si>
  <si>
    <t>hashpower_THs</t>
  </si>
  <si>
    <t>power_kW</t>
  </si>
  <si>
    <t>type</t>
  </si>
  <si>
    <t>hw_cost_usd</t>
  </si>
  <si>
    <t>device_name</t>
  </si>
  <si>
    <t>#</t>
  </si>
  <si>
    <t>Video card</t>
  </si>
  <si>
    <t>Gh/s</t>
  </si>
  <si>
    <t>Year</t>
  </si>
  <si>
    <t>Price now</t>
  </si>
  <si>
    <t>Power consumption</t>
  </si>
  <si>
    <t>1041 USD</t>
  </si>
  <si>
    <t>250 W</t>
  </si>
  <si>
    <t>300 W</t>
  </si>
  <si>
    <t>619 USD</t>
  </si>
  <si>
    <t>180 W</t>
  </si>
  <si>
    <t>246 USD</t>
  </si>
  <si>
    <t>150 W</t>
  </si>
  <si>
    <t>605 USD</t>
  </si>
  <si>
    <t>223 USD</t>
  </si>
  <si>
    <t>220 W</t>
  </si>
  <si>
    <t>406 USD</t>
  </si>
  <si>
    <t>611 USD</t>
  </si>
  <si>
    <t>350 W</t>
  </si>
  <si>
    <t>609 USD</t>
  </si>
  <si>
    <t>200 W</t>
  </si>
  <si>
    <t>171 USD</t>
  </si>
  <si>
    <t>70 W</t>
  </si>
  <si>
    <t>520 USD</t>
  </si>
  <si>
    <t>113 USD</t>
  </si>
  <si>
    <t>100 W</t>
  </si>
  <si>
    <t>445 USD</t>
  </si>
  <si>
    <t>170 USD</t>
  </si>
  <si>
    <t>60 W</t>
  </si>
  <si>
    <t>391 USD</t>
  </si>
  <si>
    <t>438 USD</t>
  </si>
  <si>
    <t>147 USD</t>
  </si>
  <si>
    <t>273 USD</t>
  </si>
  <si>
    <t>155 USD</t>
  </si>
  <si>
    <t>75 W</t>
  </si>
  <si>
    <t>82 USD</t>
  </si>
  <si>
    <t>160 W</t>
  </si>
  <si>
    <t>125 USD</t>
  </si>
  <si>
    <t>80 W</t>
  </si>
  <si>
    <t>184 USD</t>
  </si>
  <si>
    <t>110 W</t>
  </si>
  <si>
    <t> NVIDIA GeForce GTX 1080 Ti</t>
  </si>
  <si>
    <t> NVIDIA Tesla P100 SXM2</t>
  </si>
  <si>
    <t> NVIDIA GeForce GTX 1080</t>
  </si>
  <si>
    <t> NVIDIA GeForce GTX 1070</t>
  </si>
  <si>
    <t> NVIDIA GeForce GTX 980 Ti</t>
  </si>
  <si>
    <t> NVIDIA GeForce GTX 980</t>
  </si>
  <si>
    <t> NVIDIA GeForce GTX 970</t>
  </si>
  <si>
    <t> AMD Radeon R9 290X</t>
  </si>
  <si>
    <t> AMD Radeon R9 280X</t>
  </si>
  <si>
    <t> NVIDIA GeForce GTX 1050 Ti</t>
  </si>
  <si>
    <t> AMD Radeon R9 390</t>
  </si>
  <si>
    <t> NVIDIA GeForce GTX 960</t>
  </si>
  <si>
    <t> AMD Radeon R9 380X</t>
  </si>
  <si>
    <t> NVIDIA GeForce GTX 1050</t>
  </si>
  <si>
    <t> AMD Radeon HD 7950</t>
  </si>
  <si>
    <t> AMD Radeon R9 380</t>
  </si>
  <si>
    <t> AMD Radeon HD 7870</t>
  </si>
  <si>
    <t> AMD Radeon R7 370</t>
  </si>
  <si>
    <t> NVIDIA GeForce GTX 750 Ti</t>
  </si>
  <si>
    <t> NVIDIA GeForce GTX 560 Ti</t>
  </si>
  <si>
    <t> AMD Radeon R7 360</t>
  </si>
  <si>
    <t> NVIDIA GeForce GTX 650 Ti</t>
  </si>
  <si>
    <t>Power(kWh)</t>
  </si>
  <si>
    <t>Price_usd</t>
  </si>
  <si>
    <t>2895 USD</t>
  </si>
  <si>
    <t>(TH)/kW</t>
  </si>
  <si>
    <t>TH / kW</t>
  </si>
  <si>
    <t>(TH/kW) / $</t>
  </si>
  <si>
    <t>TH/kW / $</t>
  </si>
  <si>
    <t>https://technical.city/en/video/decred-rating</t>
  </si>
  <si>
    <t>1080Ti</t>
  </si>
  <si>
    <t>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</si>
</sst>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0" formatCode="_-* #,##0_-;\-* #,##0_-;_-* &quot;-&quot;??_-;_-@_-"/>
    <numFmt numFmtId="173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888888"/>
      <name val="Times New Roman"/>
      <family val="1"/>
    </font>
    <font>
      <sz val="9"/>
      <color rgb="FF333333"/>
      <name val="Times New Roman"/>
      <family val="1"/>
    </font>
    <font>
      <u/>
      <sz val="9"/>
      <color theme="10"/>
      <name val="Times New Roman"/>
      <family val="1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rgb="FF008000"/>
      <name val="Arial"/>
      <family val="2"/>
    </font>
    <font>
      <sz val="8"/>
      <color rgb="FF222222"/>
      <name val="Arial"/>
      <family val="2"/>
    </font>
    <font>
      <sz val="8"/>
      <color rgb="FF888888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name val="Segoe UI"/>
      <family val="2"/>
    </font>
    <font>
      <sz val="8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 style="thick">
        <color rgb="FFFB4848"/>
      </left>
      <right/>
      <top/>
      <bottom style="medium">
        <color rgb="FFFB4848"/>
      </bottom>
      <diagonal/>
    </border>
    <border>
      <left/>
      <right/>
      <top style="medium">
        <color rgb="FFFB4848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0" borderId="0" xfId="0" applyFont="1" applyAlignment="1">
      <alignment horizontal="center"/>
    </xf>
    <xf numFmtId="17" fontId="5" fillId="0" borderId="0" xfId="0" applyNumberFormat="1" applyFont="1"/>
    <xf numFmtId="0" fontId="4" fillId="0" borderId="0" xfId="0" applyFont="1" applyBorder="1" applyAlignment="1">
      <alignment horizontal="center" wrapText="1"/>
    </xf>
    <xf numFmtId="170" fontId="5" fillId="0" borderId="0" xfId="1" applyNumberFormat="1" applyFont="1"/>
    <xf numFmtId="43" fontId="5" fillId="0" borderId="0" xfId="0" applyNumberFormat="1" applyFont="1"/>
    <xf numFmtId="0" fontId="9" fillId="0" borderId="0" xfId="0" applyFont="1"/>
    <xf numFmtId="0" fontId="10" fillId="2" borderId="0" xfId="2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14" fontId="9" fillId="0" borderId="0" xfId="0" applyNumberFormat="1" applyFont="1"/>
    <xf numFmtId="14" fontId="0" fillId="0" borderId="0" xfId="0" applyNumberFormat="1"/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vertical="center" wrapText="1"/>
    </xf>
    <xf numFmtId="0" fontId="17" fillId="0" borderId="7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horizontal="center" vertical="center" wrapText="1"/>
    </xf>
    <xf numFmtId="43" fontId="0" fillId="0" borderId="0" xfId="1" applyFont="1"/>
    <xf numFmtId="0" fontId="17" fillId="0" borderId="9" xfId="0" applyFont="1" applyFill="1" applyBorder="1" applyAlignment="1">
      <alignment vertical="center" wrapText="1"/>
    </xf>
    <xf numFmtId="0" fontId="17" fillId="0" borderId="10" xfId="0" applyFont="1" applyFill="1" applyBorder="1" applyAlignment="1">
      <alignment vertical="center" wrapText="1"/>
    </xf>
    <xf numFmtId="0" fontId="0" fillId="0" borderId="10" xfId="0" applyBorder="1"/>
    <xf numFmtId="0" fontId="0" fillId="0" borderId="0" xfId="0" applyBorder="1"/>
    <xf numFmtId="0" fontId="17" fillId="0" borderId="11" xfId="0" applyFont="1" applyFill="1" applyBorder="1" applyAlignment="1">
      <alignment vertical="center" wrapText="1"/>
    </xf>
    <xf numFmtId="0" fontId="17" fillId="0" borderId="12" xfId="0" applyFont="1" applyFill="1" applyBorder="1" applyAlignment="1">
      <alignment vertical="center" wrapText="1"/>
    </xf>
    <xf numFmtId="0" fontId="0" fillId="0" borderId="12" xfId="0" applyBorder="1"/>
    <xf numFmtId="0" fontId="17" fillId="0" borderId="10" xfId="0" applyFont="1" applyFill="1" applyBorder="1" applyAlignment="1">
      <alignment horizontal="left" vertical="center" wrapText="1"/>
    </xf>
    <xf numFmtId="0" fontId="17" fillId="0" borderId="13" xfId="0" applyFont="1" applyFill="1" applyBorder="1" applyAlignment="1">
      <alignment vertical="center" wrapText="1"/>
    </xf>
    <xf numFmtId="0" fontId="17" fillId="0" borderId="12" xfId="0" applyFont="1" applyFill="1" applyBorder="1" applyAlignment="1">
      <alignment horizontal="left" vertical="center" wrapText="1"/>
    </xf>
    <xf numFmtId="0" fontId="17" fillId="0" borderId="14" xfId="0" applyFont="1" applyFill="1" applyBorder="1" applyAlignment="1">
      <alignment vertical="center" wrapText="1"/>
    </xf>
    <xf numFmtId="0" fontId="17" fillId="0" borderId="15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vertical="center" wrapText="1"/>
    </xf>
    <xf numFmtId="0" fontId="17" fillId="0" borderId="17" xfId="0" applyFont="1" applyFill="1" applyBorder="1" applyAlignment="1">
      <alignment vertical="center" wrapText="1"/>
    </xf>
    <xf numFmtId="0" fontId="17" fillId="0" borderId="18" xfId="0" applyFont="1" applyFill="1" applyBorder="1" applyAlignment="1">
      <alignment vertical="center" wrapText="1"/>
    </xf>
    <xf numFmtId="0" fontId="0" fillId="0" borderId="16" xfId="0" applyBorder="1"/>
    <xf numFmtId="43" fontId="0" fillId="0" borderId="0" xfId="0" applyNumberFormat="1"/>
    <xf numFmtId="0" fontId="3" fillId="0" borderId="0" xfId="2"/>
    <xf numFmtId="173" fontId="0" fillId="0" borderId="0" xfId="0" applyNumberFormat="1"/>
    <xf numFmtId="2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Decred ASICs - Hash vs Release</a:t>
            </a:r>
            <a:r>
              <a:rPr lang="en-AU" baseline="0"/>
              <a:t> Date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13245270570687"/>
          <c:y val="0.16782291381817119"/>
          <c:w val="0.85530635514822939"/>
          <c:h val="0.69362835975952231"/>
        </c:manualLayout>
      </c:layout>
      <c:lineChart>
        <c:grouping val="standard"/>
        <c:varyColors val="0"/>
        <c:ser>
          <c:idx val="0"/>
          <c:order val="0"/>
          <c:tx>
            <c:strRef>
              <c:f>dcr_asics!$K$3</c:f>
              <c:strCache>
                <c:ptCount val="1"/>
                <c:pt idx="0">
                  <c:v>TH/s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AC9FFF5-D711-4246-A753-1B1E7140E3C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059-4C66-9FAB-A7D445F23E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2E11C1-F5F7-4874-A50E-D08EBD6B707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059-4C66-9FAB-A7D445F23E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67CA91F-DD27-404C-8D43-249465B4BF5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059-4C66-9FAB-A7D445F23E2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77BB77-4A60-4A97-A244-1648CE2B59D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59-4C66-9FAB-A7D445F23E2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F56DAF8-95DB-4510-BE09-9D6CE8D5B5C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59-4C66-9FAB-A7D445F23E2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90EEFBD-2164-479B-817C-AA0C469F30C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59-4C66-9FAB-A7D445F23E2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5CD033-C012-4B5A-A90E-3660FD41F17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59-4C66-9FAB-A7D445F23E2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AC41F2-A912-4017-A814-294CFFE8CFE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59-4C66-9FAB-A7D445F23E2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1D951BB-9260-4222-BA34-B1EB2E8BDC0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059-4C66-9FAB-A7D445F23E2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0B58E7-F284-418E-8803-B2C2A4BBA67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59-4C66-9FAB-A7D445F23E2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CE1A748-E3AF-43CA-8A11-1E58AA9B48A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059-4C66-9FAB-A7D445F23E2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E3C24C3-BE25-4E8F-B252-7FA3CA97401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059-4C66-9FAB-A7D445F23E2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62C38B9-AA15-40BB-90F6-FE12F3B1835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059-4C66-9FAB-A7D445F23E2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98F6758-9CC3-49B2-AA8A-380747700FE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059-4C66-9FAB-A7D445F23E2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B7D4C1D-8418-4176-8A15-B7EA10288BA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059-4C66-9FAB-A7D445F23E2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E88A3B-49C6-4889-8E71-6AC26B00AC8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059-4C66-9FAB-A7D445F23E2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9C9DDD6-E316-4A30-B406-A2525603C16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059-4C66-9FAB-A7D445F23E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dcr_asics!$C$4:$C$20</c:f>
              <c:numCache>
                <c:formatCode>mmm\-yy</c:formatCode>
                <c:ptCount val="17"/>
                <c:pt idx="0">
                  <c:v>43101</c:v>
                </c:pt>
                <c:pt idx="1">
                  <c:v>43191</c:v>
                </c:pt>
                <c:pt idx="2">
                  <c:v>43191</c:v>
                </c:pt>
                <c:pt idx="3">
                  <c:v>43252</c:v>
                </c:pt>
                <c:pt idx="4">
                  <c:v>43252</c:v>
                </c:pt>
                <c:pt idx="5">
                  <c:v>43252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43313</c:v>
                </c:pt>
                <c:pt idx="10">
                  <c:v>43313</c:v>
                </c:pt>
                <c:pt idx="11">
                  <c:v>43344</c:v>
                </c:pt>
                <c:pt idx="12">
                  <c:v>43374</c:v>
                </c:pt>
                <c:pt idx="13">
                  <c:v>43374</c:v>
                </c:pt>
                <c:pt idx="14">
                  <c:v>43405</c:v>
                </c:pt>
                <c:pt idx="15">
                  <c:v>43435</c:v>
                </c:pt>
                <c:pt idx="16">
                  <c:v>43647</c:v>
                </c:pt>
              </c:numCache>
            </c:numRef>
          </c:cat>
          <c: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dcr_asics!$B$4:$B$20</c15:f>
                <c15:dlblRangeCache>
                  <c:ptCount val="17"/>
                  <c:pt idx="0">
                    <c:v>BK-B</c:v>
                  </c:pt>
                  <c:pt idx="1">
                    <c:v>B29</c:v>
                  </c:pt>
                  <c:pt idx="2">
                    <c:v>D9</c:v>
                  </c:pt>
                  <c:pt idx="3">
                    <c:v>BK-D</c:v>
                  </c:pt>
                  <c:pt idx="4">
                    <c:v>D18</c:v>
                  </c:pt>
                  <c:pt idx="5">
                    <c:v>DCR1</c:v>
                  </c:pt>
                  <c:pt idx="6">
                    <c:v>DSM6T</c:v>
                  </c:pt>
                  <c:pt idx="7">
                    <c:v>D1</c:v>
                  </c:pt>
                  <c:pt idx="8">
                    <c:v>D9+</c:v>
                  </c:pt>
                  <c:pt idx="9">
                    <c:v>DS19</c:v>
                  </c:pt>
                  <c:pt idx="10">
                    <c:v>DSM7T</c:v>
                  </c:pt>
                  <c:pt idx="11">
                    <c:v>DR3</c:v>
                  </c:pt>
                  <c:pt idx="12">
                    <c:v>U1</c:v>
                  </c:pt>
                  <c:pt idx="13">
                    <c:v>U1+</c:v>
                  </c:pt>
                  <c:pt idx="14">
                    <c:v>D1</c:v>
                  </c:pt>
                  <c:pt idx="15">
                    <c:v>DR5</c:v>
                  </c:pt>
                  <c:pt idx="16">
                    <c:v>U1++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059-4C66-9FAB-A7D445F23E25}"/>
            </c:ext>
          </c:extLst>
        </c:ser>
        <c:ser>
          <c:idx val="1"/>
          <c:order val="1"/>
          <c:tx>
            <c:strRef>
              <c:f>dcr_asics!$N$3</c:f>
              <c:strCache>
                <c:ptCount val="1"/>
                <c:pt idx="0">
                  <c:v>(TH/kW) / $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358804E-A2F2-44D2-941E-CBC3881DB8D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059-4C66-9FAB-A7D445F23E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81D2DF-7E32-46E1-B90F-B331CC8A53F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059-4C66-9FAB-A7D445F23E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677C2A-3899-41C2-B704-1FD0CA94B32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059-4C66-9FAB-A7D445F23E2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6B9A0E-C9B2-438C-9A66-D4CC94CBBF2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059-4C66-9FAB-A7D445F23E2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9CE083-F2E5-4164-910C-0E3C3E6D968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059-4C66-9FAB-A7D445F23E2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ED54E9-4DA4-491B-8F4E-745F52D37CB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059-4C66-9FAB-A7D445F23E2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32E5959-6934-4A0D-B1B7-AA37C4F00B6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059-4C66-9FAB-A7D445F23E2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CD26A5-0DE2-4BDC-B74C-2EE8DA6E562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059-4C66-9FAB-A7D445F23E2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B2583BB-B8B8-47B8-BA18-0FE5F98A2AE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059-4C66-9FAB-A7D445F23E2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83C7855-49A2-4CA1-8512-2B952726C8A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059-4C66-9FAB-A7D445F23E2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E2130E8-8C7A-48E1-AD72-156CEA0960E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059-4C66-9FAB-A7D445F23E2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5839D55-81ED-45E0-805D-ED4A098FC34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059-4C66-9FAB-A7D445F23E2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75AD6C2-0047-42BA-8F56-658B60535E2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059-4C66-9FAB-A7D445F23E2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D1C38FB-532D-475C-8C76-8141E131588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059-4C66-9FAB-A7D445F23E2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55915D-9EE9-462A-B703-1AC1DA4210C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059-4C66-9FAB-A7D445F23E2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5850BD5-1DC8-4ADD-BDFA-40663D7AB60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059-4C66-9FAB-A7D445F23E2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19CD0EB-6DED-47D4-8695-BDD57901BEF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059-4C66-9FAB-A7D445F23E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dcr_asics!$N$4:$N$20</c:f>
              <c:numCache>
                <c:formatCode>_(* #,##0.00_);_(* \(#,##0.00\);_(* "-"??_);_(@_)</c:formatCode>
                <c:ptCount val="17"/>
                <c:pt idx="0">
                  <c:v>7.7191101581345487</c:v>
                </c:pt>
                <c:pt idx="1">
                  <c:v>0</c:v>
                </c:pt>
                <c:pt idx="2">
                  <c:v>5.2205438066465257</c:v>
                </c:pt>
                <c:pt idx="3">
                  <c:v>1.1023923444976076</c:v>
                </c:pt>
                <c:pt idx="4">
                  <c:v>9.0305444887118203</c:v>
                </c:pt>
                <c:pt idx="5">
                  <c:v>4.32</c:v>
                </c:pt>
                <c:pt idx="6">
                  <c:v>0</c:v>
                </c:pt>
                <c:pt idx="7">
                  <c:v>0</c:v>
                </c:pt>
                <c:pt idx="8">
                  <c:v>4.5034328623269753</c:v>
                </c:pt>
                <c:pt idx="9">
                  <c:v>7.591836734693878</c:v>
                </c:pt>
                <c:pt idx="10">
                  <c:v>8</c:v>
                </c:pt>
                <c:pt idx="11">
                  <c:v>79.659574468085111</c:v>
                </c:pt>
                <c:pt idx="12">
                  <c:v>28.285714285714285</c:v>
                </c:pt>
                <c:pt idx="13">
                  <c:v>15.281047919084727</c:v>
                </c:pt>
                <c:pt idx="14">
                  <c:v>73.630611244860134</c:v>
                </c:pt>
                <c:pt idx="15">
                  <c:v>40.135753283163645</c:v>
                </c:pt>
                <c:pt idx="16">
                  <c:v>75.335023542194861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dcr_asics!$B$4:$B$20</c15:f>
                <c15:dlblRangeCache>
                  <c:ptCount val="17"/>
                  <c:pt idx="0">
                    <c:v>BK-B</c:v>
                  </c:pt>
                  <c:pt idx="1">
                    <c:v>B29</c:v>
                  </c:pt>
                  <c:pt idx="2">
                    <c:v>D9</c:v>
                  </c:pt>
                  <c:pt idx="3">
                    <c:v>BK-D</c:v>
                  </c:pt>
                  <c:pt idx="4">
                    <c:v>D18</c:v>
                  </c:pt>
                  <c:pt idx="5">
                    <c:v>DCR1</c:v>
                  </c:pt>
                  <c:pt idx="6">
                    <c:v>DSM6T</c:v>
                  </c:pt>
                  <c:pt idx="7">
                    <c:v>D1</c:v>
                  </c:pt>
                  <c:pt idx="8">
                    <c:v>D9+</c:v>
                  </c:pt>
                  <c:pt idx="9">
                    <c:v>DS19</c:v>
                  </c:pt>
                  <c:pt idx="10">
                    <c:v>DSM7T</c:v>
                  </c:pt>
                  <c:pt idx="11">
                    <c:v>DR3</c:v>
                  </c:pt>
                  <c:pt idx="12">
                    <c:v>U1</c:v>
                  </c:pt>
                  <c:pt idx="13">
                    <c:v>U1+</c:v>
                  </c:pt>
                  <c:pt idx="14">
                    <c:v>D1</c:v>
                  </c:pt>
                  <c:pt idx="15">
                    <c:v>DR5</c:v>
                  </c:pt>
                  <c:pt idx="16">
                    <c:v>U1++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E059-4C66-9FAB-A7D445F23E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8561208"/>
        <c:axId val="748558648"/>
      </c:lineChart>
      <c:dateAx>
        <c:axId val="7485612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8648"/>
        <c:crosses val="autoZero"/>
        <c:auto val="1"/>
        <c:lblOffset val="100"/>
        <c:baseTimeUnit val="days"/>
      </c:dateAx>
      <c:valAx>
        <c:axId val="74855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Hash-rate (TH/s)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61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Decred ASICs - Hash vs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dLbls>
            <c:delete val="1"/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C53D-4EE5-86A6-F35250521695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dLbls>
            <c:delete val="1"/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C53D-4EE5-86A6-F35250521695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dLbls>
            <c:delete val="1"/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C53D-4EE5-86A6-F35250521695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dLbls>
            <c:delete val="1"/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C53D-4EE5-86A6-F35250521695}"/>
            </c:ext>
          </c:extLst>
        </c:ser>
        <c:ser>
          <c:idx val="5"/>
          <c:order val="4"/>
          <c:spPr>
            <a:ln w="25400" cap="rnd">
              <a:noFill/>
              <a:round/>
            </a:ln>
            <a:effectLst/>
          </c:spPr>
          <c:dLbls>
            <c:delete val="1"/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C53D-4EE5-86A6-F35250521695}"/>
            </c:ext>
          </c:extLst>
        </c:ser>
        <c:ser>
          <c:idx val="6"/>
          <c:order val="5"/>
          <c:spPr>
            <a:ln w="25400" cap="rnd">
              <a:noFill/>
              <a:round/>
            </a:ln>
            <a:effectLst/>
          </c:spPr>
          <c:dLbls>
            <c:delete val="1"/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C53D-4EE5-86A6-F35250521695}"/>
            </c:ext>
          </c:extLst>
        </c:ser>
        <c:ser>
          <c:idx val="0"/>
          <c:order val="6"/>
          <c:spPr>
            <a:ln w="25400" cap="rnd">
              <a:noFill/>
              <a:round/>
            </a:ln>
            <a:effectLst/>
          </c:spPr>
          <c:marker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5518272-ECBA-406A-BCFF-B2E1D5C89BE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C53D-4EE5-86A6-F352505216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27512E-6CB4-4AD5-B9D2-9AF04EA5B41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C53D-4EE5-86A6-F352505216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077620-8F01-407E-A041-23998AC3A6A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C53D-4EE5-86A6-F3525052169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9F6E85-E1FC-4DAC-8139-E60F11CAFCA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C53D-4EE5-86A6-F352505216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745EA2-4436-4907-A857-702A48BFB5F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C53D-4EE5-86A6-F3525052169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FB6698-DD99-4258-8014-8FA7BA53DEF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C53D-4EE5-86A6-F352505216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17EAB6E-3941-4580-B12F-12D03264409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C53D-4EE5-86A6-F3525052169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2A54158-4B19-477B-AF46-1C48DE49A4D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C53D-4EE5-86A6-F3525052169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53C5CBA-DA12-44DB-8FA2-C49C1A4C1C6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C53D-4EE5-86A6-F352505216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0B9D54-8497-4B9D-BE0B-9D42CCA5E6C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C53D-4EE5-86A6-F3525052169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F51505C-13F0-4E9D-95D4-CA51BFDD918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C53D-4EE5-86A6-F3525052169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F17F494-59DE-491C-ACD8-27F3B852246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C53D-4EE5-86A6-F3525052169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1FDDFA8-A0A8-491D-BAF3-26D20A6E315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C53D-4EE5-86A6-F3525052169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EBAB9A9-EE90-4F34-BAF4-D05C2444B05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C53D-4EE5-86A6-F3525052169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D1C9FB7-4A07-4F42-9DEE-39B5EEDAA54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C53D-4EE5-86A6-F3525052169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48D4C15-5100-4FAD-ADB6-652975BB744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C53D-4EE5-86A6-F3525052169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531F546-D802-48AD-9A7C-95A1C3AE251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C53D-4EE5-86A6-F352505216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dcr_asics!$L$4:$L$20</c:f>
              <c:numCache>
                <c:formatCode>General</c:formatCode>
                <c:ptCount val="17"/>
                <c:pt idx="0">
                  <c:v>410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180</c:v>
                </c:pt>
                <c:pt idx="5">
                  <c:v>500</c:v>
                </c:pt>
                <c:pt idx="6">
                  <c:v>2100</c:v>
                </c:pt>
                <c:pt idx="7">
                  <c:v>2100</c:v>
                </c:pt>
                <c:pt idx="8">
                  <c:v>1230</c:v>
                </c:pt>
                <c:pt idx="9">
                  <c:v>980</c:v>
                </c:pt>
                <c:pt idx="10">
                  <c:v>2100</c:v>
                </c:pt>
                <c:pt idx="11">
                  <c:v>1410</c:v>
                </c:pt>
                <c:pt idx="12">
                  <c:v>1600</c:v>
                </c:pt>
                <c:pt idx="13">
                  <c:v>1850</c:v>
                </c:pt>
                <c:pt idx="14">
                  <c:v>2200</c:v>
                </c:pt>
                <c:pt idx="15">
                  <c:v>1800</c:v>
                </c:pt>
                <c:pt idx="16">
                  <c:v>2200</c:v>
                </c:pt>
              </c:numCache>
            </c:numRef>
          </c:xVal>
          <c:yVal>
            <c:numRef>
              <c:f>dcr_asics!$K$4:$K$20</c:f>
              <c:numCache>
                <c:formatCode>General</c:formatCode>
                <c:ptCount val="17"/>
                <c:pt idx="0">
                  <c:v>0.16</c:v>
                </c:pt>
                <c:pt idx="1">
                  <c:v>2.1</c:v>
                </c:pt>
                <c:pt idx="2">
                  <c:v>2.4</c:v>
                </c:pt>
                <c:pt idx="3">
                  <c:v>0.32</c:v>
                </c:pt>
                <c:pt idx="4">
                  <c:v>0.34</c:v>
                </c:pt>
                <c:pt idx="5">
                  <c:v>1.2</c:v>
                </c:pt>
                <c:pt idx="6">
                  <c:v>6</c:v>
                </c:pt>
                <c:pt idx="7">
                  <c:v>6</c:v>
                </c:pt>
                <c:pt idx="8">
                  <c:v>2.8</c:v>
                </c:pt>
                <c:pt idx="9">
                  <c:v>3.1</c:v>
                </c:pt>
                <c:pt idx="10">
                  <c:v>7</c:v>
                </c:pt>
                <c:pt idx="11">
                  <c:v>7.8</c:v>
                </c:pt>
                <c:pt idx="12">
                  <c:v>11</c:v>
                </c:pt>
                <c:pt idx="13">
                  <c:v>12.8</c:v>
                </c:pt>
                <c:pt idx="14">
                  <c:v>48</c:v>
                </c:pt>
                <c:pt idx="15">
                  <c:v>34</c:v>
                </c:pt>
                <c:pt idx="16">
                  <c:v>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dcr_asics!$B$4:$B$20</c15:f>
                <c15:dlblRangeCache>
                  <c:ptCount val="17"/>
                  <c:pt idx="0">
                    <c:v>BK-B</c:v>
                  </c:pt>
                  <c:pt idx="1">
                    <c:v>B29</c:v>
                  </c:pt>
                  <c:pt idx="2">
                    <c:v>D9</c:v>
                  </c:pt>
                  <c:pt idx="3">
                    <c:v>BK-D</c:v>
                  </c:pt>
                  <c:pt idx="4">
                    <c:v>D18</c:v>
                  </c:pt>
                  <c:pt idx="5">
                    <c:v>DCR1</c:v>
                  </c:pt>
                  <c:pt idx="6">
                    <c:v>DSM6T</c:v>
                  </c:pt>
                  <c:pt idx="7">
                    <c:v>D1</c:v>
                  </c:pt>
                  <c:pt idx="8">
                    <c:v>D9+</c:v>
                  </c:pt>
                  <c:pt idx="9">
                    <c:v>DS19</c:v>
                  </c:pt>
                  <c:pt idx="10">
                    <c:v>DSM7T</c:v>
                  </c:pt>
                  <c:pt idx="11">
                    <c:v>DR3</c:v>
                  </c:pt>
                  <c:pt idx="12">
                    <c:v>U1</c:v>
                  </c:pt>
                  <c:pt idx="13">
                    <c:v>U1+</c:v>
                  </c:pt>
                  <c:pt idx="14">
                    <c:v>D1</c:v>
                  </c:pt>
                  <c:pt idx="15">
                    <c:v>DR5</c:v>
                  </c:pt>
                  <c:pt idx="16">
                    <c:v>U1++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2-C53D-4EE5-86A6-F352505216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48561208"/>
        <c:axId val="748558648"/>
      </c:scatterChart>
      <c:valAx>
        <c:axId val="748561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Power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8648"/>
        <c:crosses val="autoZero"/>
        <c:crossBetween val="midCat"/>
      </c:valAx>
      <c:valAx>
        <c:axId val="74855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Hash-rate (TH/s)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612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Decred ASICs - Hash vs Hardware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4B9F0E5-A1C8-4D1F-9394-750FBE819B2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5BE-4EF4-8BE1-06EFF9C471A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2-65BE-4EF4-8BE1-06EFF9C471A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23E65D-2F5B-47F4-89B0-99886336448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5BE-4EF4-8BE1-06EFF9C471A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CAC314E-B68D-45FA-8B43-69C31916B54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BE-4EF4-8BE1-06EFF9C471A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BB3850E-A3BD-405D-A012-9141E222852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BE-4EF4-8BE1-06EFF9C471A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2AD3D3-31E7-4516-9577-62AAE284967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BE-4EF4-8BE1-06EFF9C471A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7-65BE-4EF4-8BE1-06EFF9C471A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8-65BE-4EF4-8BE1-06EFF9C471A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0313773-6275-433E-92E0-669E84DB872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5BE-4EF4-8BE1-06EFF9C471A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704D004-7DE6-493E-8A0D-F74674B3BAF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5BE-4EF4-8BE1-06EFF9C471A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D24674-1B3B-4928-A892-07726C9FEDB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5BE-4EF4-8BE1-06EFF9C471A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D4757AD-22D3-495F-A1CC-B27BD5ED2B4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5BE-4EF4-8BE1-06EFF9C471A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23300E8-B89C-4915-B090-E204CA0B58E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5BE-4EF4-8BE1-06EFF9C471A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852A3C6-C6DD-4F55-8FB5-83C7620A07B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5BE-4EF4-8BE1-06EFF9C471A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E8EF66B-2E3F-484F-9248-810A992E07B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5BE-4EF4-8BE1-06EFF9C471A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48CD5B7-6A0F-432E-AF41-009409E2586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5BE-4EF4-8BE1-06EFF9C471A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37BE04-BD46-4DA6-982B-5019490E733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5BE-4EF4-8BE1-06EFF9C471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dcr_asics!$M$4:$M$20</c:f>
              <c:numCache>
                <c:formatCode>_-* #,##0_-;\-* #,##0_-;_-* "-"??_-;_-@_-</c:formatCode>
                <c:ptCount val="17"/>
                <c:pt idx="0">
                  <c:v>1404.8780487804879</c:v>
                </c:pt>
                <c:pt idx="1">
                  <c:v>8400</c:v>
                </c:pt>
                <c:pt idx="2">
                  <c:v>8640</c:v>
                </c:pt>
                <c:pt idx="3">
                  <c:v>1047.2727272727273</c:v>
                </c:pt>
                <c:pt idx="4">
                  <c:v>6800</c:v>
                </c:pt>
                <c:pt idx="5">
                  <c:v>8640</c:v>
                </c:pt>
                <c:pt idx="6">
                  <c:v>10285.714285714284</c:v>
                </c:pt>
                <c:pt idx="7">
                  <c:v>10285.714285714284</c:v>
                </c:pt>
                <c:pt idx="8">
                  <c:v>8195.121951219513</c:v>
                </c:pt>
                <c:pt idx="9">
                  <c:v>11387.755102040817</c:v>
                </c:pt>
                <c:pt idx="10">
                  <c:v>12000</c:v>
                </c:pt>
                <c:pt idx="11">
                  <c:v>19914.893617021276</c:v>
                </c:pt>
                <c:pt idx="12">
                  <c:v>24750</c:v>
                </c:pt>
                <c:pt idx="13">
                  <c:v>24908.108108108107</c:v>
                </c:pt>
                <c:pt idx="14">
                  <c:v>78545.454545454544</c:v>
                </c:pt>
                <c:pt idx="15">
                  <c:v>68000</c:v>
                </c:pt>
                <c:pt idx="16">
                  <c:v>85090.909090909088</c:v>
                </c:pt>
              </c:numCache>
            </c:numRef>
          </c:xVal>
          <c:yVal>
            <c:numRef>
              <c:f>dcr_asics!$J$4:$J$20</c:f>
              <c:numCache>
                <c:formatCode>General</c:formatCode>
                <c:ptCount val="17"/>
                <c:pt idx="0">
                  <c:v>182</c:v>
                </c:pt>
                <c:pt idx="2">
                  <c:v>1655</c:v>
                </c:pt>
                <c:pt idx="3">
                  <c:v>950</c:v>
                </c:pt>
                <c:pt idx="4">
                  <c:v>752.99999999999989</c:v>
                </c:pt>
                <c:pt idx="5">
                  <c:v>2000</c:v>
                </c:pt>
                <c:pt idx="8">
                  <c:v>1819.7499999999998</c:v>
                </c:pt>
                <c:pt idx="9">
                  <c:v>1500</c:v>
                </c:pt>
                <c:pt idx="10">
                  <c:v>1500</c:v>
                </c:pt>
                <c:pt idx="11">
                  <c:v>250</c:v>
                </c:pt>
                <c:pt idx="12">
                  <c:v>875</c:v>
                </c:pt>
                <c:pt idx="13">
                  <c:v>1630</c:v>
                </c:pt>
                <c:pt idx="14">
                  <c:v>1066.75</c:v>
                </c:pt>
                <c:pt idx="15">
                  <c:v>1694.2499999999998</c:v>
                </c:pt>
                <c:pt idx="16">
                  <c:v>1129.5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dcr_asics!$B$4:$B$20</c15:f>
                <c15:dlblRangeCache>
                  <c:ptCount val="17"/>
                  <c:pt idx="0">
                    <c:v>BK-B</c:v>
                  </c:pt>
                  <c:pt idx="1">
                    <c:v>B29</c:v>
                  </c:pt>
                  <c:pt idx="2">
                    <c:v>D9</c:v>
                  </c:pt>
                  <c:pt idx="3">
                    <c:v>BK-D</c:v>
                  </c:pt>
                  <c:pt idx="4">
                    <c:v>D18</c:v>
                  </c:pt>
                  <c:pt idx="5">
                    <c:v>DCR1</c:v>
                  </c:pt>
                  <c:pt idx="6">
                    <c:v>DSM6T</c:v>
                  </c:pt>
                  <c:pt idx="7">
                    <c:v>D1</c:v>
                  </c:pt>
                  <c:pt idx="8">
                    <c:v>D9+</c:v>
                  </c:pt>
                  <c:pt idx="9">
                    <c:v>DS19</c:v>
                  </c:pt>
                  <c:pt idx="10">
                    <c:v>DSM7T</c:v>
                  </c:pt>
                  <c:pt idx="11">
                    <c:v>DR3</c:v>
                  </c:pt>
                  <c:pt idx="12">
                    <c:v>U1</c:v>
                  </c:pt>
                  <c:pt idx="13">
                    <c:v>U1+</c:v>
                  </c:pt>
                  <c:pt idx="14">
                    <c:v>D1</c:v>
                  </c:pt>
                  <c:pt idx="15">
                    <c:v>DR5</c:v>
                  </c:pt>
                  <c:pt idx="16">
                    <c:v>U1++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5BE-4EF4-8BE1-06EFF9C471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48561208"/>
        <c:axId val="748558648"/>
      </c:scatterChart>
      <c:valAx>
        <c:axId val="748561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Efficiency (TH/kWh)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8648"/>
        <c:crosses val="autoZero"/>
        <c:crossBetween val="midCat"/>
      </c:valAx>
      <c:valAx>
        <c:axId val="74855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ASIC Hardware Cost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61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btc_asics!$M$2</c:f>
              <c:strCache>
                <c:ptCount val="1"/>
                <c:pt idx="0">
                  <c:v>TH/kWh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btc_asics!$N$3:$N$85</c:f>
              <c:numCache>
                <c:formatCode>m/d/yyyy</c:formatCode>
                <c:ptCount val="83"/>
                <c:pt idx="0">
                  <c:v>43952</c:v>
                </c:pt>
                <c:pt idx="1">
                  <c:v>43952</c:v>
                </c:pt>
                <c:pt idx="2">
                  <c:v>43922</c:v>
                </c:pt>
                <c:pt idx="3">
                  <c:v>43405</c:v>
                </c:pt>
                <c:pt idx="4">
                  <c:v>43221</c:v>
                </c:pt>
                <c:pt idx="5">
                  <c:v>43800</c:v>
                </c:pt>
                <c:pt idx="6">
                  <c:v>43922</c:v>
                </c:pt>
                <c:pt idx="7">
                  <c:v>43678</c:v>
                </c:pt>
                <c:pt idx="8">
                  <c:v>43770</c:v>
                </c:pt>
                <c:pt idx="9">
                  <c:v>43800</c:v>
                </c:pt>
                <c:pt idx="10">
                  <c:v>43709</c:v>
                </c:pt>
                <c:pt idx="11">
                  <c:v>43800</c:v>
                </c:pt>
                <c:pt idx="12">
                  <c:v>43709</c:v>
                </c:pt>
                <c:pt idx="13">
                  <c:v>43556</c:v>
                </c:pt>
                <c:pt idx="14">
                  <c:v>43617</c:v>
                </c:pt>
                <c:pt idx="15">
                  <c:v>43344</c:v>
                </c:pt>
                <c:pt idx="16">
                  <c:v>43556</c:v>
                </c:pt>
                <c:pt idx="17">
                  <c:v>43556</c:v>
                </c:pt>
                <c:pt idx="18">
                  <c:v>43770</c:v>
                </c:pt>
                <c:pt idx="19">
                  <c:v>43586</c:v>
                </c:pt>
                <c:pt idx="20">
                  <c:v>43556</c:v>
                </c:pt>
                <c:pt idx="21">
                  <c:v>43709</c:v>
                </c:pt>
                <c:pt idx="22">
                  <c:v>43647</c:v>
                </c:pt>
                <c:pt idx="23">
                  <c:v>43709</c:v>
                </c:pt>
                <c:pt idx="24">
                  <c:v>43101</c:v>
                </c:pt>
                <c:pt idx="25">
                  <c:v>43070</c:v>
                </c:pt>
                <c:pt idx="26">
                  <c:v>43647</c:v>
                </c:pt>
                <c:pt idx="27">
                  <c:v>43374</c:v>
                </c:pt>
                <c:pt idx="28">
                  <c:v>43374</c:v>
                </c:pt>
                <c:pt idx="29">
                  <c:v>43709</c:v>
                </c:pt>
                <c:pt idx="30">
                  <c:v>43466</c:v>
                </c:pt>
                <c:pt idx="31">
                  <c:v>43586</c:v>
                </c:pt>
                <c:pt idx="32">
                  <c:v>43525</c:v>
                </c:pt>
                <c:pt idx="33">
                  <c:v>43374</c:v>
                </c:pt>
                <c:pt idx="34">
                  <c:v>43709</c:v>
                </c:pt>
                <c:pt idx="35">
                  <c:v>43101</c:v>
                </c:pt>
                <c:pt idx="36">
                  <c:v>43344</c:v>
                </c:pt>
                <c:pt idx="37">
                  <c:v>43405</c:v>
                </c:pt>
                <c:pt idx="38">
                  <c:v>43344</c:v>
                </c:pt>
                <c:pt idx="39">
                  <c:v>43678</c:v>
                </c:pt>
                <c:pt idx="40">
                  <c:v>43374</c:v>
                </c:pt>
                <c:pt idx="41">
                  <c:v>43435</c:v>
                </c:pt>
                <c:pt idx="42">
                  <c:v>43313</c:v>
                </c:pt>
                <c:pt idx="43">
                  <c:v>43374</c:v>
                </c:pt>
                <c:pt idx="44">
                  <c:v>43313</c:v>
                </c:pt>
                <c:pt idx="45">
                  <c:v>43435</c:v>
                </c:pt>
                <c:pt idx="46">
                  <c:v>43405</c:v>
                </c:pt>
                <c:pt idx="47">
                  <c:v>43344</c:v>
                </c:pt>
                <c:pt idx="48">
                  <c:v>43132</c:v>
                </c:pt>
                <c:pt idx="49">
                  <c:v>43313</c:v>
                </c:pt>
                <c:pt idx="50">
                  <c:v>43221</c:v>
                </c:pt>
                <c:pt idx="51">
                  <c:v>43647</c:v>
                </c:pt>
                <c:pt idx="52">
                  <c:v>43282</c:v>
                </c:pt>
                <c:pt idx="53">
                  <c:v>43282</c:v>
                </c:pt>
                <c:pt idx="54">
                  <c:v>43191</c:v>
                </c:pt>
                <c:pt idx="55">
                  <c:v>43221</c:v>
                </c:pt>
                <c:pt idx="56">
                  <c:v>43313</c:v>
                </c:pt>
                <c:pt idx="57">
                  <c:v>43221</c:v>
                </c:pt>
                <c:pt idx="58">
                  <c:v>43040</c:v>
                </c:pt>
                <c:pt idx="59">
                  <c:v>43191</c:v>
                </c:pt>
                <c:pt idx="60">
                  <c:v>43678</c:v>
                </c:pt>
                <c:pt idx="61">
                  <c:v>42979</c:v>
                </c:pt>
                <c:pt idx="62">
                  <c:v>43282</c:v>
                </c:pt>
                <c:pt idx="63">
                  <c:v>43221</c:v>
                </c:pt>
                <c:pt idx="64">
                  <c:v>42917</c:v>
                </c:pt>
                <c:pt idx="65">
                  <c:v>42767</c:v>
                </c:pt>
                <c:pt idx="66">
                  <c:v>42948</c:v>
                </c:pt>
                <c:pt idx="67">
                  <c:v>43160</c:v>
                </c:pt>
                <c:pt idx="68">
                  <c:v>43221</c:v>
                </c:pt>
                <c:pt idx="69">
                  <c:v>43101</c:v>
                </c:pt>
                <c:pt idx="70">
                  <c:v>42522</c:v>
                </c:pt>
                <c:pt idx="71">
                  <c:v>43132</c:v>
                </c:pt>
                <c:pt idx="72">
                  <c:v>42826</c:v>
                </c:pt>
                <c:pt idx="73">
                  <c:v>43101</c:v>
                </c:pt>
                <c:pt idx="74">
                  <c:v>43101</c:v>
                </c:pt>
                <c:pt idx="75">
                  <c:v>42767</c:v>
                </c:pt>
                <c:pt idx="76">
                  <c:v>42979</c:v>
                </c:pt>
                <c:pt idx="77">
                  <c:v>42826</c:v>
                </c:pt>
                <c:pt idx="78">
                  <c:v>42248</c:v>
                </c:pt>
                <c:pt idx="79">
                  <c:v>43160</c:v>
                </c:pt>
                <c:pt idx="80">
                  <c:v>42522</c:v>
                </c:pt>
                <c:pt idx="81">
                  <c:v>41974</c:v>
                </c:pt>
                <c:pt idx="82">
                  <c:v>41821</c:v>
                </c:pt>
              </c:numCache>
            </c:numRef>
          </c:cat>
          <c:val>
            <c:numRef>
              <c:f>btc_asics!$M$3:$M$85</c:f>
              <c:numCache>
                <c:formatCode>_-* #,##0_-;\-* #,##0_-;_-* "-"??_-;_-@_-</c:formatCode>
                <c:ptCount val="83"/>
                <c:pt idx="0">
                  <c:v>121846.15384615384</c:v>
                </c:pt>
                <c:pt idx="1">
                  <c:v>105230.76923076923</c:v>
                </c:pt>
                <c:pt idx="2">
                  <c:v>94736.84210526316</c:v>
                </c:pt>
                <c:pt idx="3">
                  <c:v>45714.285714285717</c:v>
                </c:pt>
                <c:pt idx="4">
                  <c:v>68400</c:v>
                </c:pt>
                <c:pt idx="5">
                  <c:v>90000</c:v>
                </c:pt>
                <c:pt idx="6">
                  <c:v>78260.869565217392</c:v>
                </c:pt>
                <c:pt idx="7">
                  <c:v>72857.142857142855</c:v>
                </c:pt>
                <c:pt idx="8">
                  <c:v>80000</c:v>
                </c:pt>
                <c:pt idx="9">
                  <c:v>72000</c:v>
                </c:pt>
                <c:pt idx="10">
                  <c:v>77142.857142857145</c:v>
                </c:pt>
                <c:pt idx="11">
                  <c:v>83520</c:v>
                </c:pt>
                <c:pt idx="12">
                  <c:v>62181.818181818184</c:v>
                </c:pt>
                <c:pt idx="13">
                  <c:v>80000</c:v>
                </c:pt>
                <c:pt idx="14">
                  <c:v>60000</c:v>
                </c:pt>
                <c:pt idx="15">
                  <c:v>56571.428571428572</c:v>
                </c:pt>
                <c:pt idx="16">
                  <c:v>91117.478510028654</c:v>
                </c:pt>
                <c:pt idx="17">
                  <c:v>80000</c:v>
                </c:pt>
                <c:pt idx="18">
                  <c:v>65454.545454545456</c:v>
                </c:pt>
                <c:pt idx="19">
                  <c:v>66857.142857142855</c:v>
                </c:pt>
                <c:pt idx="20">
                  <c:v>91139.240506329108</c:v>
                </c:pt>
                <c:pt idx="21">
                  <c:v>72000</c:v>
                </c:pt>
                <c:pt idx="22">
                  <c:v>58064.516129032258</c:v>
                </c:pt>
                <c:pt idx="23">
                  <c:v>55384.615384615383</c:v>
                </c:pt>
                <c:pt idx="24">
                  <c:v>32666.666666666664</c:v>
                </c:pt>
                <c:pt idx="25">
                  <c:v>27562.5</c:v>
                </c:pt>
                <c:pt idx="26">
                  <c:v>78857.142857142855</c:v>
                </c:pt>
                <c:pt idx="27">
                  <c:v>80000</c:v>
                </c:pt>
                <c:pt idx="28">
                  <c:v>75428.57142857142</c:v>
                </c:pt>
                <c:pt idx="29">
                  <c:v>63360</c:v>
                </c:pt>
                <c:pt idx="30">
                  <c:v>73714.28571428571</c:v>
                </c:pt>
                <c:pt idx="31">
                  <c:v>65454.545454545449</c:v>
                </c:pt>
                <c:pt idx="32">
                  <c:v>65302.325581395351</c:v>
                </c:pt>
                <c:pt idx="33">
                  <c:v>65454.545454545449</c:v>
                </c:pt>
                <c:pt idx="34">
                  <c:v>55966.386554621851</c:v>
                </c:pt>
                <c:pt idx="35">
                  <c:v>24480</c:v>
                </c:pt>
                <c:pt idx="36">
                  <c:v>55384.615384615383</c:v>
                </c:pt>
                <c:pt idx="37">
                  <c:v>34767.339771729588</c:v>
                </c:pt>
                <c:pt idx="38">
                  <c:v>52363.63636363636</c:v>
                </c:pt>
                <c:pt idx="39">
                  <c:v>60000</c:v>
                </c:pt>
                <c:pt idx="40">
                  <c:v>55384.615384615383</c:v>
                </c:pt>
                <c:pt idx="41">
                  <c:v>48000</c:v>
                </c:pt>
                <c:pt idx="42">
                  <c:v>42000</c:v>
                </c:pt>
                <c:pt idx="43">
                  <c:v>44307.692307692312</c:v>
                </c:pt>
                <c:pt idx="44">
                  <c:v>43636.36363636364</c:v>
                </c:pt>
                <c:pt idx="45">
                  <c:v>46588.23529411765</c:v>
                </c:pt>
                <c:pt idx="46">
                  <c:v>48235.294117647056</c:v>
                </c:pt>
                <c:pt idx="47">
                  <c:v>42352.941176470587</c:v>
                </c:pt>
                <c:pt idx="48">
                  <c:v>39272.727272727272</c:v>
                </c:pt>
                <c:pt idx="49">
                  <c:v>37500</c:v>
                </c:pt>
                <c:pt idx="50">
                  <c:v>39439.490445859868</c:v>
                </c:pt>
                <c:pt idx="51">
                  <c:v>45000</c:v>
                </c:pt>
                <c:pt idx="52">
                  <c:v>41739.130434782615</c:v>
                </c:pt>
                <c:pt idx="53">
                  <c:v>41142.857142857145</c:v>
                </c:pt>
                <c:pt idx="54">
                  <c:v>38918.91891891892</c:v>
                </c:pt>
                <c:pt idx="55">
                  <c:v>32727.272727272728</c:v>
                </c:pt>
                <c:pt idx="56">
                  <c:v>38666.666666666664</c:v>
                </c:pt>
                <c:pt idx="57">
                  <c:v>38181.818181818177</c:v>
                </c:pt>
                <c:pt idx="58">
                  <c:v>36734.693877551021</c:v>
                </c:pt>
                <c:pt idx="59">
                  <c:v>37953.488372093023</c:v>
                </c:pt>
                <c:pt idx="60">
                  <c:v>37099.236641221374</c:v>
                </c:pt>
                <c:pt idx="61">
                  <c:v>36734.693877551021</c:v>
                </c:pt>
                <c:pt idx="62">
                  <c:v>34225.352112676061</c:v>
                </c:pt>
                <c:pt idx="63">
                  <c:v>36562.5</c:v>
                </c:pt>
                <c:pt idx="64">
                  <c:v>36000</c:v>
                </c:pt>
                <c:pt idx="65">
                  <c:v>36734.693877551021</c:v>
                </c:pt>
                <c:pt idx="66">
                  <c:v>28553.299492385784</c:v>
                </c:pt>
                <c:pt idx="67">
                  <c:v>21951.219512195123</c:v>
                </c:pt>
                <c:pt idx="68">
                  <c:v>32727.272727272724</c:v>
                </c:pt>
                <c:pt idx="69">
                  <c:v>21600</c:v>
                </c:pt>
                <c:pt idx="70">
                  <c:v>36734.693877551021</c:v>
                </c:pt>
                <c:pt idx="71">
                  <c:v>34500</c:v>
                </c:pt>
                <c:pt idx="72">
                  <c:v>28551.724137931036</c:v>
                </c:pt>
                <c:pt idx="73">
                  <c:v>26396.648044692738</c:v>
                </c:pt>
                <c:pt idx="74">
                  <c:v>24923.076923076922</c:v>
                </c:pt>
                <c:pt idx="75">
                  <c:v>37065.08875739645</c:v>
                </c:pt>
                <c:pt idx="76">
                  <c:v>30600</c:v>
                </c:pt>
                <c:pt idx="77">
                  <c:v>22852.17391304348</c:v>
                </c:pt>
                <c:pt idx="78">
                  <c:v>13169.373549883991</c:v>
                </c:pt>
                <c:pt idx="79">
                  <c:v>14021.421616358326</c:v>
                </c:pt>
                <c:pt idx="80">
                  <c:v>13945.480631276901</c:v>
                </c:pt>
                <c:pt idx="81">
                  <c:v>7047.4576271186443</c:v>
                </c:pt>
                <c:pt idx="82">
                  <c:v>4701.6393442622948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3-411E-8196-203722979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165240"/>
        <c:axId val="736165880"/>
      </c:lineChart>
      <c:dateAx>
        <c:axId val="73616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165880"/>
        <c:crosses val="autoZero"/>
        <c:auto val="1"/>
        <c:lblOffset val="100"/>
        <c:baseTimeUnit val="days"/>
      </c:dateAx>
      <c:valAx>
        <c:axId val="73616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16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0</xdr:row>
      <xdr:rowOff>0</xdr:rowOff>
    </xdr:from>
    <xdr:to>
      <xdr:col>34</xdr:col>
      <xdr:colOff>530144</xdr:colOff>
      <xdr:row>38</xdr:row>
      <xdr:rowOff>71470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F9E6A-D052-4CDB-A3DB-6109D6F06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0"/>
          <a:ext cx="10809524" cy="73619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133349</xdr:rowOff>
    </xdr:from>
    <xdr:to>
      <xdr:col>7</xdr:col>
      <xdr:colOff>171450</xdr:colOff>
      <xdr:row>37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F8C2E91-2A29-4254-9AEE-E9D773890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20</xdr:row>
      <xdr:rowOff>152400</xdr:rowOff>
    </xdr:from>
    <xdr:to>
      <xdr:col>13</xdr:col>
      <xdr:colOff>0</xdr:colOff>
      <xdr:row>37</xdr:row>
      <xdr:rowOff>104776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1575A1C-254F-43A0-8602-DA35A46B6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37</xdr:row>
      <xdr:rowOff>161925</xdr:rowOff>
    </xdr:from>
    <xdr:to>
      <xdr:col>7</xdr:col>
      <xdr:colOff>142875</xdr:colOff>
      <xdr:row>54</xdr:row>
      <xdr:rowOff>114301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E008CBC-3A8C-480D-A7D4-8FFAB4C10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455378</xdr:colOff>
      <xdr:row>4</xdr:row>
      <xdr:rowOff>109828</xdr:rowOff>
    </xdr:from>
    <xdr:to>
      <xdr:col>9</xdr:col>
      <xdr:colOff>533897</xdr:colOff>
      <xdr:row>35</xdr:row>
      <xdr:rowOff>139147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6230E352-0E7B-4A79-B7CE-B6FD92F97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nical.city/en/video/decred-rat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sicminervalue.com/miners/ffminer/ds19" TargetMode="External"/><Relationship Id="rId13" Type="http://schemas.openxmlformats.org/officeDocument/2006/relationships/hyperlink" Target="https://www.asicminervalue.com/miners/bitfily/snow-panther-d1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asicminervalue.com/miners/strongu/stu-u1-2" TargetMode="External"/><Relationship Id="rId7" Type="http://schemas.openxmlformats.org/officeDocument/2006/relationships/hyperlink" Target="https://www.asicminervalue.com/miners/innosilicon/d9-decredmaster" TargetMode="External"/><Relationship Id="rId12" Type="http://schemas.openxmlformats.org/officeDocument/2006/relationships/hyperlink" Target="https://www.asicminervalue.com/miners/strongu/stu-u1-1" TargetMode="External"/><Relationship Id="rId17" Type="http://schemas.openxmlformats.org/officeDocument/2006/relationships/hyperlink" Target="https://www.asicminervalue.com/miners/ibelink/dsm7t" TargetMode="External"/><Relationship Id="rId2" Type="http://schemas.openxmlformats.org/officeDocument/2006/relationships/hyperlink" Target="https://www.asicminervalue.com/miners/obelisk/dcr1" TargetMode="External"/><Relationship Id="rId16" Type="http://schemas.openxmlformats.org/officeDocument/2006/relationships/hyperlink" Target="https://www.asicminervalue.com/miners/baikal/bk-b" TargetMode="External"/><Relationship Id="rId1" Type="http://schemas.openxmlformats.org/officeDocument/2006/relationships/hyperlink" Target="https://www.asicminervalue.com/miners/ffminer/decred-d18" TargetMode="External"/><Relationship Id="rId6" Type="http://schemas.openxmlformats.org/officeDocument/2006/relationships/hyperlink" Target="https://www.asicminervalue.com/miners/halong-mining/dragonmint-b29" TargetMode="External"/><Relationship Id="rId11" Type="http://schemas.openxmlformats.org/officeDocument/2006/relationships/hyperlink" Target="https://www.asicminervalue.com/miners/strongu/stu-u1" TargetMode="External"/><Relationship Id="rId5" Type="http://schemas.openxmlformats.org/officeDocument/2006/relationships/hyperlink" Target="https://www.asicminervalue.com/miners/bitmain/antminer-dr5-34th" TargetMode="External"/><Relationship Id="rId15" Type="http://schemas.openxmlformats.org/officeDocument/2006/relationships/hyperlink" Target="https://www.asicminervalue.com/miners/baikal/bk-d" TargetMode="External"/><Relationship Id="rId10" Type="http://schemas.openxmlformats.org/officeDocument/2006/relationships/hyperlink" Target="https://www.asicminervalue.com/miners/bitmain/antminer-dr3" TargetMode="External"/><Relationship Id="rId4" Type="http://schemas.openxmlformats.org/officeDocument/2006/relationships/hyperlink" Target="https://www.asicminervalue.com/miners/microbt/whatsminer-d1" TargetMode="External"/><Relationship Id="rId9" Type="http://schemas.openxmlformats.org/officeDocument/2006/relationships/hyperlink" Target="https://www.asicminervalue.com/miners/innosilicon/d9-decredmaster-1" TargetMode="External"/><Relationship Id="rId14" Type="http://schemas.openxmlformats.org/officeDocument/2006/relationships/hyperlink" Target="https://www.asicminervalue.com/miners/ibelink/dsm6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sicminervalue.com/miners/bitmain/antminer-t9-11-5th" TargetMode="External"/><Relationship Id="rId18" Type="http://schemas.openxmlformats.org/officeDocument/2006/relationships/hyperlink" Target="https://www.asicminervalue.com/miners/microbt/whatsminer-m3x" TargetMode="External"/><Relationship Id="rId26" Type="http://schemas.openxmlformats.org/officeDocument/2006/relationships/hyperlink" Target="https://www.asicminervalue.com/miners/bitmain/antminer-s9-14th" TargetMode="External"/><Relationship Id="rId39" Type="http://schemas.openxmlformats.org/officeDocument/2006/relationships/hyperlink" Target="https://www.asicminervalue.com/miners/innosilicon/t2-turbo" TargetMode="External"/><Relationship Id="rId21" Type="http://schemas.openxmlformats.org/officeDocument/2006/relationships/hyperlink" Target="https://www.asicminervalue.com/miners/bitmain/antminer-s9k-13-5th" TargetMode="External"/><Relationship Id="rId34" Type="http://schemas.openxmlformats.org/officeDocument/2006/relationships/hyperlink" Target="https://www.asicminervalue.com/miners/bitmain/antminer-s9-hydro-18th" TargetMode="External"/><Relationship Id="rId42" Type="http://schemas.openxmlformats.org/officeDocument/2006/relationships/hyperlink" Target="https://www.asicminervalue.com/miners/ebang/ebit-e11" TargetMode="External"/><Relationship Id="rId47" Type="http://schemas.openxmlformats.org/officeDocument/2006/relationships/hyperlink" Target="https://www.asicminervalue.com/miners/pantech/wx6" TargetMode="External"/><Relationship Id="rId50" Type="http://schemas.openxmlformats.org/officeDocument/2006/relationships/hyperlink" Target="https://www.asicminervalue.com/miners/innosilicon/t3-39t" TargetMode="External"/><Relationship Id="rId55" Type="http://schemas.openxmlformats.org/officeDocument/2006/relationships/hyperlink" Target="https://www.asicminervalue.com/miners/ebang/ebit-e12" TargetMode="External"/><Relationship Id="rId63" Type="http://schemas.openxmlformats.org/officeDocument/2006/relationships/hyperlink" Target="https://www.asicminervalue.com/miners/innosilicon/t3-52t" TargetMode="External"/><Relationship Id="rId68" Type="http://schemas.openxmlformats.org/officeDocument/2006/relationships/hyperlink" Target="https://www.asicminervalue.com/miners/bitmain/antminer-s17-56th" TargetMode="External"/><Relationship Id="rId76" Type="http://schemas.openxmlformats.org/officeDocument/2006/relationships/hyperlink" Target="https://www.asicminervalue.com/miners/microbt/whatsminer-m31s" TargetMode="External"/><Relationship Id="rId84" Type="http://schemas.openxmlformats.org/officeDocument/2006/relationships/drawing" Target="../drawings/drawing2.xml"/><Relationship Id="rId7" Type="http://schemas.openxmlformats.org/officeDocument/2006/relationships/hyperlink" Target="https://www.asicminervalue.com/miners/pantech/sx6" TargetMode="External"/><Relationship Id="rId71" Type="http://schemas.openxmlformats.org/officeDocument/2006/relationships/hyperlink" Target="https://www.asicminervalue.com/miners/asicminer/8-nano-s-58th" TargetMode="External"/><Relationship Id="rId2" Type="http://schemas.openxmlformats.org/officeDocument/2006/relationships/hyperlink" Target="https://www.asicminervalue.com/miners/bitmain/antminer-s5" TargetMode="External"/><Relationship Id="rId16" Type="http://schemas.openxmlformats.org/officeDocument/2006/relationships/hyperlink" Target="https://www.asicminervalue.com/miners/bitmain/antminer-s9-12-5th" TargetMode="External"/><Relationship Id="rId29" Type="http://schemas.openxmlformats.org/officeDocument/2006/relationships/hyperlink" Target="https://www.asicminervalue.com/miners/bitfily/snow-panther-b1" TargetMode="External"/><Relationship Id="rId11" Type="http://schemas.openxmlformats.org/officeDocument/2006/relationships/hyperlink" Target="https://www.asicminervalue.com/miners/bitmain/antminer-s9-11-5th" TargetMode="External"/><Relationship Id="rId24" Type="http://schemas.openxmlformats.org/officeDocument/2006/relationships/hyperlink" Target="https://www.asicminervalue.com/miners/canaan/avalonminer-841" TargetMode="External"/><Relationship Id="rId32" Type="http://schemas.openxmlformats.org/officeDocument/2006/relationships/hyperlink" Target="https://www.asicminervalue.com/miners/innosilicon/t2-terminator" TargetMode="External"/><Relationship Id="rId37" Type="http://schemas.openxmlformats.org/officeDocument/2006/relationships/hyperlink" Target="https://www.asicminervalue.com/miners/holic/h22" TargetMode="External"/><Relationship Id="rId40" Type="http://schemas.openxmlformats.org/officeDocument/2006/relationships/hyperlink" Target="https://www.asicminervalue.com/miners/bitfily/snow-panther-b1-1" TargetMode="External"/><Relationship Id="rId45" Type="http://schemas.openxmlformats.org/officeDocument/2006/relationships/hyperlink" Target="https://www.asicminervalue.com/miners/microbt/whatsminer-m10" TargetMode="External"/><Relationship Id="rId53" Type="http://schemas.openxmlformats.org/officeDocument/2006/relationships/hyperlink" Target="https://www.asicminervalue.com/miners/ebang/ebit-e11-2" TargetMode="External"/><Relationship Id="rId58" Type="http://schemas.openxmlformats.org/officeDocument/2006/relationships/hyperlink" Target="https://www.asicminervalue.com/miners/bitfury/b8" TargetMode="External"/><Relationship Id="rId66" Type="http://schemas.openxmlformats.org/officeDocument/2006/relationships/hyperlink" Target="https://www.asicminervalue.com/miners/bitmain/antminer-t17e-53th" TargetMode="External"/><Relationship Id="rId74" Type="http://schemas.openxmlformats.org/officeDocument/2006/relationships/hyperlink" Target="https://www.asicminervalue.com/miners/bitmain/antminer-t17-64th" TargetMode="External"/><Relationship Id="rId79" Type="http://schemas.openxmlformats.org/officeDocument/2006/relationships/hyperlink" Target="https://www.asicminervalue.com/miners/bitfury/tardis" TargetMode="External"/><Relationship Id="rId5" Type="http://schemas.openxmlformats.org/officeDocument/2006/relationships/hyperlink" Target="https://www.asicminervalue.com/miners/bitmain/antminer-s7" TargetMode="External"/><Relationship Id="rId61" Type="http://schemas.openxmlformats.org/officeDocument/2006/relationships/hyperlink" Target="https://www.asicminervalue.com/miners/innosilicon/t3-50t" TargetMode="External"/><Relationship Id="rId82" Type="http://schemas.openxmlformats.org/officeDocument/2006/relationships/hyperlink" Target="https://www.asicminervalue.com/miners/bitmain/antminer-s19-pro-110th" TargetMode="External"/><Relationship Id="rId10" Type="http://schemas.openxmlformats.org/officeDocument/2006/relationships/hyperlink" Target="https://www.asicminervalue.com/miners/bitmain/antminer-t9-10-5th" TargetMode="External"/><Relationship Id="rId19" Type="http://schemas.openxmlformats.org/officeDocument/2006/relationships/hyperlink" Target="https://www.asicminervalue.com/miners/bitmain/antminer-s9i-13th" TargetMode="External"/><Relationship Id="rId31" Type="http://schemas.openxmlformats.org/officeDocument/2006/relationships/hyperlink" Target="https://www.asicminervalue.com/miners/ebang/ebit-e9-3" TargetMode="External"/><Relationship Id="rId44" Type="http://schemas.openxmlformats.org/officeDocument/2006/relationships/hyperlink" Target="https://www.asicminervalue.com/miners/innosilicon/t2-turbo-32t" TargetMode="External"/><Relationship Id="rId52" Type="http://schemas.openxmlformats.org/officeDocument/2006/relationships/hyperlink" Target="https://www.asicminervalue.com/miners/innosilicon/t3-43t" TargetMode="External"/><Relationship Id="rId60" Type="http://schemas.openxmlformats.org/officeDocument/2006/relationships/hyperlink" Target="https://www.asicminervalue.com/miners/ebang/ebit-e12-1" TargetMode="External"/><Relationship Id="rId65" Type="http://schemas.openxmlformats.org/officeDocument/2006/relationships/hyperlink" Target="https://www.asicminervalue.com/miners/bitmain/antminer-s17-53th" TargetMode="External"/><Relationship Id="rId73" Type="http://schemas.openxmlformats.org/officeDocument/2006/relationships/hyperlink" Target="https://www.asicminervalue.com/miners/bitmain/antminer-s17e-64th" TargetMode="External"/><Relationship Id="rId78" Type="http://schemas.openxmlformats.org/officeDocument/2006/relationships/hyperlink" Target="https://www.asicminervalue.com/miners/asicminer/8-nano-pro" TargetMode="External"/><Relationship Id="rId81" Type="http://schemas.openxmlformats.org/officeDocument/2006/relationships/hyperlink" Target="https://www.asicminervalue.com/miners/bitmain/antminer-s19-95th" TargetMode="External"/><Relationship Id="rId4" Type="http://schemas.openxmlformats.org/officeDocument/2006/relationships/hyperlink" Target="https://www.asicminervalue.com/miners/bitmain/antminer-v9-4th" TargetMode="External"/><Relationship Id="rId9" Type="http://schemas.openxmlformats.org/officeDocument/2006/relationships/hyperlink" Target="https://www.asicminervalue.com/miners/ebang/ebit-e9" TargetMode="External"/><Relationship Id="rId14" Type="http://schemas.openxmlformats.org/officeDocument/2006/relationships/hyperlink" Target="https://www.asicminervalue.com/miners/ebang/ebit-e9-2" TargetMode="External"/><Relationship Id="rId22" Type="http://schemas.openxmlformats.org/officeDocument/2006/relationships/hyperlink" Target="https://www.asicminervalue.com/miners/bitmain/antminer-s9-13-5th" TargetMode="External"/><Relationship Id="rId27" Type="http://schemas.openxmlformats.org/officeDocument/2006/relationships/hyperlink" Target="https://www.asicminervalue.com/miners/bitmain/antminer-s9j-14-5th" TargetMode="External"/><Relationship Id="rId30" Type="http://schemas.openxmlformats.org/officeDocument/2006/relationships/hyperlink" Target="https://www.asicminervalue.com/miners/halong-mining/dragonmint-t1" TargetMode="External"/><Relationship Id="rId35" Type="http://schemas.openxmlformats.org/officeDocument/2006/relationships/hyperlink" Target="https://www.asicminervalue.com/miners/canaan/avalonminer-921" TargetMode="External"/><Relationship Id="rId43" Type="http://schemas.openxmlformats.org/officeDocument/2006/relationships/hyperlink" Target="https://www.asicminervalue.com/miners/microbt/whatsminer-m21" TargetMode="External"/><Relationship Id="rId48" Type="http://schemas.openxmlformats.org/officeDocument/2006/relationships/hyperlink" Target="https://www.asicminervalue.com/miners/ebang/ebit-e11-1" TargetMode="External"/><Relationship Id="rId56" Type="http://schemas.openxmlformats.org/officeDocument/2006/relationships/hyperlink" Target="https://www.asicminervalue.com/miners/strongu/stu-u8" TargetMode="External"/><Relationship Id="rId64" Type="http://schemas.openxmlformats.org/officeDocument/2006/relationships/hyperlink" Target="https://www.asicminervalue.com/miners/bitmain/antminer-s17-pro-53th" TargetMode="External"/><Relationship Id="rId69" Type="http://schemas.openxmlformats.org/officeDocument/2006/relationships/hyperlink" Target="https://www.asicminervalue.com/miners/microbt/whatsminer-m21s" TargetMode="External"/><Relationship Id="rId77" Type="http://schemas.openxmlformats.org/officeDocument/2006/relationships/hyperlink" Target="https://www.asicminervalue.com/miners/bitmain/antminer-s17-73th" TargetMode="External"/><Relationship Id="rId8" Type="http://schemas.openxmlformats.org/officeDocument/2006/relationships/hyperlink" Target="https://www.asicminervalue.com/miners/bitmain/antminer-r4" TargetMode="External"/><Relationship Id="rId51" Type="http://schemas.openxmlformats.org/officeDocument/2006/relationships/hyperlink" Target="https://www.asicminervalue.com/miners/bitmain/antminer-t17-40th" TargetMode="External"/><Relationship Id="rId72" Type="http://schemas.openxmlformats.org/officeDocument/2006/relationships/hyperlink" Target="https://www.asicminervalue.com/miners/strongu/stu-u8-pro" TargetMode="External"/><Relationship Id="rId80" Type="http://schemas.openxmlformats.org/officeDocument/2006/relationships/hyperlink" Target="https://www.asicminervalue.com/miners/microbt/whatsminer-m30s" TargetMode="External"/><Relationship Id="rId3" Type="http://schemas.openxmlformats.org/officeDocument/2006/relationships/hyperlink" Target="https://www.asicminervalue.com/miners/bitmain/antminer-s7-ln" TargetMode="External"/><Relationship Id="rId12" Type="http://schemas.openxmlformats.org/officeDocument/2006/relationships/hyperlink" Target="https://www.asicminervalue.com/miners/canaan/avalonminer-821" TargetMode="External"/><Relationship Id="rId17" Type="http://schemas.openxmlformats.org/officeDocument/2006/relationships/hyperlink" Target="https://www.asicminervalue.com/miners/bitmain/antminer-t9-12-5th" TargetMode="External"/><Relationship Id="rId25" Type="http://schemas.openxmlformats.org/officeDocument/2006/relationships/hyperlink" Target="https://www.asicminervalue.com/miners/bitmain/antminer-s9i-14th" TargetMode="External"/><Relationship Id="rId33" Type="http://schemas.openxmlformats.org/officeDocument/2006/relationships/hyperlink" Target="https://www.asicminervalue.com/miners/ebang/ebit-e10" TargetMode="External"/><Relationship Id="rId38" Type="http://schemas.openxmlformats.org/officeDocument/2006/relationships/hyperlink" Target="https://www.asicminervalue.com/miners/gmo-miner/b2" TargetMode="External"/><Relationship Id="rId46" Type="http://schemas.openxmlformats.org/officeDocument/2006/relationships/hyperlink" Target="https://www.asicminervalue.com/miners/gmo-miner/b3" TargetMode="External"/><Relationship Id="rId59" Type="http://schemas.openxmlformats.org/officeDocument/2006/relationships/hyperlink" Target="https://www.asicminervalue.com/miners/bitmain/antminer-s17-pro-50th" TargetMode="External"/><Relationship Id="rId67" Type="http://schemas.openxmlformats.org/officeDocument/2006/relationships/hyperlink" Target="https://www.asicminervalue.com/miners/microbt/whatsminer-m10s" TargetMode="External"/><Relationship Id="rId20" Type="http://schemas.openxmlformats.org/officeDocument/2006/relationships/hyperlink" Target="https://www.asicminervalue.com/miners/bitmain/antminer-s9-13th" TargetMode="External"/><Relationship Id="rId41" Type="http://schemas.openxmlformats.org/officeDocument/2006/relationships/hyperlink" Target="https://www.asicminervalue.com/miners/holic/h28" TargetMode="External"/><Relationship Id="rId54" Type="http://schemas.openxmlformats.org/officeDocument/2006/relationships/hyperlink" Target="https://www.asicminervalue.com/miners/asicminer/8-nano-44th" TargetMode="External"/><Relationship Id="rId62" Type="http://schemas.openxmlformats.org/officeDocument/2006/relationships/hyperlink" Target="https://www.asicminervalue.com/miners/canaan/avalonminer-1066" TargetMode="External"/><Relationship Id="rId70" Type="http://schemas.openxmlformats.org/officeDocument/2006/relationships/hyperlink" Target="https://www.asicminervalue.com/miners/innosilicon/t3-57t" TargetMode="External"/><Relationship Id="rId75" Type="http://schemas.openxmlformats.org/officeDocument/2006/relationships/hyperlink" Target="https://www.asicminervalue.com/miners/microbt/whatsminer-m20s" TargetMode="External"/><Relationship Id="rId83" Type="http://schemas.openxmlformats.org/officeDocument/2006/relationships/hyperlink" Target="https://www.asicminervalue.com/miners/aladdin-miner/16th-s-bitcoin" TargetMode="External"/><Relationship Id="rId1" Type="http://schemas.openxmlformats.org/officeDocument/2006/relationships/hyperlink" Target="https://www.asicminervalue.com/miners/bitmain/antminer-s3" TargetMode="External"/><Relationship Id="rId6" Type="http://schemas.openxmlformats.org/officeDocument/2006/relationships/hyperlink" Target="https://www.asicminervalue.com/miners/canaan/avalonminer-741" TargetMode="External"/><Relationship Id="rId15" Type="http://schemas.openxmlformats.org/officeDocument/2006/relationships/hyperlink" Target="https://www.asicminervalue.com/miners/microbt/whatsminer-m3" TargetMode="External"/><Relationship Id="rId23" Type="http://schemas.openxmlformats.org/officeDocument/2006/relationships/hyperlink" Target="https://www.asicminervalue.com/miners/ebang/ebit-e9i" TargetMode="External"/><Relationship Id="rId28" Type="http://schemas.openxmlformats.org/officeDocument/2006/relationships/hyperlink" Target="https://www.asicminervalue.com/miners/bitmain/antminer-s9-se-16th" TargetMode="External"/><Relationship Id="rId36" Type="http://schemas.openxmlformats.org/officeDocument/2006/relationships/hyperlink" Target="https://www.asicminervalue.com/miners/bitmain/antminer-s11-20-5th" TargetMode="External"/><Relationship Id="rId49" Type="http://schemas.openxmlformats.org/officeDocument/2006/relationships/hyperlink" Target="https://www.asicminervalue.com/miners/canaan/avalonminer-1047" TargetMode="External"/><Relationship Id="rId57" Type="http://schemas.openxmlformats.org/officeDocument/2006/relationships/hyperlink" Target="https://www.asicminervalue.com/miners/bitfily/snow-panther-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B9C9-81AE-4048-9C1B-5740FE3FCBBB}">
  <dimension ref="A1:K24"/>
  <sheetViews>
    <sheetView workbookViewId="0">
      <selection sqref="A1:K23"/>
    </sheetView>
  </sheetViews>
  <sheetFormatPr defaultRowHeight="15" x14ac:dyDescent="0.25"/>
  <cols>
    <col min="1" max="1" width="5.42578125" style="13" customWidth="1"/>
    <col min="2" max="2" width="25.28515625" style="13" customWidth="1"/>
    <col min="3" max="3" width="9" style="13" customWidth="1"/>
    <col min="4" max="4" width="9.85546875" style="13" customWidth="1"/>
    <col min="5" max="5" width="14" style="13" customWidth="1"/>
    <col min="6" max="6" width="15.85546875" style="13" bestFit="1" customWidth="1"/>
    <col min="11" max="11" width="11" customWidth="1"/>
  </cols>
  <sheetData>
    <row r="1" spans="1:11" ht="21.75" thickBot="1" x14ac:dyDescent="0.3">
      <c r="A1" s="28" t="s">
        <v>446</v>
      </c>
      <c r="B1" s="28" t="s">
        <v>447</v>
      </c>
      <c r="C1" s="28" t="s">
        <v>448</v>
      </c>
      <c r="D1" s="28" t="s">
        <v>449</v>
      </c>
      <c r="E1" s="28" t="s">
        <v>450</v>
      </c>
      <c r="F1" s="29" t="s">
        <v>451</v>
      </c>
      <c r="G1" s="37" t="s">
        <v>92</v>
      </c>
      <c r="H1" s="37" t="s">
        <v>509</v>
      </c>
      <c r="I1" s="37" t="s">
        <v>510</v>
      </c>
      <c r="J1" s="37" t="s">
        <v>512</v>
      </c>
      <c r="K1" s="37" t="s">
        <v>515</v>
      </c>
    </row>
    <row r="2" spans="1:11" ht="15.75" thickBot="1" x14ac:dyDescent="0.3">
      <c r="A2" s="33">
        <v>20</v>
      </c>
      <c r="B2" s="34" t="s">
        <v>506</v>
      </c>
      <c r="C2" s="33">
        <v>0.39</v>
      </c>
      <c r="D2" s="33">
        <v>2011</v>
      </c>
      <c r="E2" s="33" t="s">
        <v>481</v>
      </c>
      <c r="F2" s="36" t="s">
        <v>482</v>
      </c>
      <c r="G2">
        <f>C2/1000</f>
        <v>3.8999999999999999E-4</v>
      </c>
      <c r="H2">
        <f>LEFT(F2,LEN(F2)-2)/1000</f>
        <v>0.16</v>
      </c>
      <c r="I2">
        <f>LEFT(E2,LEN(E2)-4)+0</f>
        <v>82</v>
      </c>
      <c r="J2" s="38">
        <f>G2*60^2/H2</f>
        <v>8.7749999999999986</v>
      </c>
      <c r="K2" s="55">
        <f>J2/I2</f>
        <v>0.1070121951219512</v>
      </c>
    </row>
    <row r="3" spans="1:11" x14ac:dyDescent="0.25">
      <c r="A3" s="30">
        <v>15</v>
      </c>
      <c r="B3" s="31" t="s">
        <v>501</v>
      </c>
      <c r="C3" s="30">
        <v>0.78</v>
      </c>
      <c r="D3" s="30">
        <v>2012</v>
      </c>
      <c r="E3" s="30" t="s">
        <v>475</v>
      </c>
      <c r="F3" s="30" t="s">
        <v>466</v>
      </c>
      <c r="G3">
        <f>C3/1000</f>
        <v>7.7999999999999999E-4</v>
      </c>
      <c r="H3">
        <f>LEFT(F3,LEN(F3)-2)/1000</f>
        <v>0.2</v>
      </c>
      <c r="I3">
        <f>LEFT(E3,LEN(E3)-4)+0</f>
        <v>391</v>
      </c>
      <c r="J3" s="38">
        <f t="shared" ref="J3:J23" si="0">G3*60^2/H3</f>
        <v>14.04</v>
      </c>
      <c r="K3" s="55">
        <f t="shared" ref="K3:K23" si="1">J3/I3</f>
        <v>3.5907928388746804E-2</v>
      </c>
    </row>
    <row r="4" spans="1:11" ht="15.75" thickBot="1" x14ac:dyDescent="0.3">
      <c r="A4" s="32">
        <v>17</v>
      </c>
      <c r="B4" s="35" t="s">
        <v>503</v>
      </c>
      <c r="C4" s="32">
        <v>0.63</v>
      </c>
      <c r="D4" s="32">
        <v>2012</v>
      </c>
      <c r="E4" s="32" t="s">
        <v>477</v>
      </c>
      <c r="F4" s="32" t="s">
        <v>466</v>
      </c>
      <c r="G4">
        <f>C4/1000</f>
        <v>6.3000000000000003E-4</v>
      </c>
      <c r="H4">
        <f>LEFT(F4,LEN(F4)-2)/1000</f>
        <v>0.2</v>
      </c>
      <c r="I4">
        <f>LEFT(E4,LEN(E4)-4)+0</f>
        <v>147</v>
      </c>
      <c r="J4" s="38">
        <f t="shared" si="0"/>
        <v>11.34</v>
      </c>
      <c r="K4" s="55">
        <f t="shared" si="1"/>
        <v>7.7142857142857138E-2</v>
      </c>
    </row>
    <row r="5" spans="1:11" ht="15.75" thickBot="1" x14ac:dyDescent="0.3">
      <c r="A5" s="33">
        <v>22</v>
      </c>
      <c r="B5" s="34" t="s">
        <v>508</v>
      </c>
      <c r="C5" s="33">
        <v>0.26</v>
      </c>
      <c r="D5" s="33">
        <v>2012</v>
      </c>
      <c r="E5" s="33" t="s">
        <v>485</v>
      </c>
      <c r="F5" s="36" t="s">
        <v>486</v>
      </c>
      <c r="G5">
        <f>C5/1000</f>
        <v>2.6000000000000003E-4</v>
      </c>
      <c r="H5">
        <f>LEFT(F5,LEN(F5)-2)/1000</f>
        <v>0.11</v>
      </c>
      <c r="I5">
        <f>LEFT(E5,LEN(E5)-4)+0</f>
        <v>184</v>
      </c>
      <c r="J5" s="38">
        <f t="shared" si="0"/>
        <v>8.5090909090909097</v>
      </c>
      <c r="K5" s="55">
        <f t="shared" si="1"/>
        <v>4.6245059288537553E-2</v>
      </c>
    </row>
    <row r="6" spans="1:11" x14ac:dyDescent="0.25">
      <c r="A6" s="30">
        <v>9</v>
      </c>
      <c r="B6" s="31" t="s">
        <v>495</v>
      </c>
      <c r="C6" s="30">
        <v>1.07</v>
      </c>
      <c r="D6" s="30">
        <v>2013</v>
      </c>
      <c r="E6" s="30" t="s">
        <v>465</v>
      </c>
      <c r="F6" s="30" t="s">
        <v>466</v>
      </c>
      <c r="G6">
        <f>C6/1000</f>
        <v>1.07E-3</v>
      </c>
      <c r="H6">
        <f>LEFT(F6,LEN(F6)-2)/1000</f>
        <v>0.2</v>
      </c>
      <c r="I6">
        <f>LEFT(E6,LEN(E6)-4)+0</f>
        <v>609</v>
      </c>
      <c r="J6" s="38">
        <f t="shared" si="0"/>
        <v>19.259999999999998</v>
      </c>
      <c r="K6" s="55">
        <f t="shared" si="1"/>
        <v>3.1625615763546798E-2</v>
      </c>
    </row>
    <row r="7" spans="1:11" ht="15.75" thickBot="1" x14ac:dyDescent="0.3">
      <c r="A7" s="32">
        <v>8</v>
      </c>
      <c r="B7" s="35" t="s">
        <v>494</v>
      </c>
      <c r="C7" s="32">
        <v>1.07</v>
      </c>
      <c r="D7" s="32">
        <v>2013</v>
      </c>
      <c r="E7" s="32" t="s">
        <v>463</v>
      </c>
      <c r="F7" s="32" t="s">
        <v>464</v>
      </c>
      <c r="G7">
        <f>C7/1000</f>
        <v>1.07E-3</v>
      </c>
      <c r="H7">
        <f>LEFT(F7,LEN(F7)-2)/1000</f>
        <v>0.35</v>
      </c>
      <c r="I7">
        <f>LEFT(E7,LEN(E7)-4)+0</f>
        <v>611</v>
      </c>
      <c r="J7" s="38">
        <f t="shared" si="0"/>
        <v>11.005714285714285</v>
      </c>
      <c r="K7" s="55">
        <f t="shared" si="1"/>
        <v>1.801262567220014E-2</v>
      </c>
    </row>
    <row r="8" spans="1:11" ht="15.75" thickBot="1" x14ac:dyDescent="0.3">
      <c r="A8" s="33">
        <v>6</v>
      </c>
      <c r="B8" s="34" t="s">
        <v>492</v>
      </c>
      <c r="C8" s="33">
        <v>1.74</v>
      </c>
      <c r="D8" s="33">
        <v>2014</v>
      </c>
      <c r="E8" s="33" t="s">
        <v>460</v>
      </c>
      <c r="F8" s="36" t="s">
        <v>461</v>
      </c>
      <c r="G8">
        <f>C8/1000</f>
        <v>1.74E-3</v>
      </c>
      <c r="H8">
        <f>LEFT(F8,LEN(F8)-2)/1000</f>
        <v>0.22</v>
      </c>
      <c r="I8">
        <f>LEFT(E8,LEN(E8)-4)+0</f>
        <v>223</v>
      </c>
      <c r="J8" s="38">
        <f t="shared" si="0"/>
        <v>28.472727272727273</v>
      </c>
      <c r="K8" s="55">
        <f t="shared" si="1"/>
        <v>0.12768039135752141</v>
      </c>
    </row>
    <row r="9" spans="1:11" x14ac:dyDescent="0.25">
      <c r="A9" s="30">
        <v>7</v>
      </c>
      <c r="B9" s="31" t="s">
        <v>493</v>
      </c>
      <c r="C9" s="30">
        <v>1.51</v>
      </c>
      <c r="D9" s="30">
        <v>2014</v>
      </c>
      <c r="E9" s="30" t="s">
        <v>462</v>
      </c>
      <c r="F9" s="30" t="s">
        <v>458</v>
      </c>
      <c r="G9">
        <f>C9/1000</f>
        <v>1.5100000000000001E-3</v>
      </c>
      <c r="H9">
        <f>LEFT(F9,LEN(F9)-2)/1000</f>
        <v>0.15</v>
      </c>
      <c r="I9">
        <f>LEFT(E9,LEN(E9)-4)+0</f>
        <v>406</v>
      </c>
      <c r="J9" s="38">
        <f t="shared" si="0"/>
        <v>36.24</v>
      </c>
      <c r="K9" s="55">
        <f t="shared" si="1"/>
        <v>8.9261083743842368E-2</v>
      </c>
    </row>
    <row r="10" spans="1:11" x14ac:dyDescent="0.25">
      <c r="A10" s="33">
        <v>19</v>
      </c>
      <c r="B10" s="35" t="s">
        <v>505</v>
      </c>
      <c r="C10" s="33">
        <v>0.51</v>
      </c>
      <c r="D10" s="33">
        <v>2014</v>
      </c>
      <c r="E10" s="33" t="s">
        <v>479</v>
      </c>
      <c r="F10" s="33" t="s">
        <v>480</v>
      </c>
      <c r="G10" s="42">
        <f>C10/1000</f>
        <v>5.1000000000000004E-4</v>
      </c>
      <c r="H10" s="42">
        <f>LEFT(F10,LEN(F10)-2)/1000</f>
        <v>7.4999999999999997E-2</v>
      </c>
      <c r="I10" s="42">
        <f>LEFT(E10,LEN(E10)-4)+0</f>
        <v>155</v>
      </c>
      <c r="J10" s="38">
        <f t="shared" si="0"/>
        <v>24.48</v>
      </c>
      <c r="K10" s="55">
        <f t="shared" si="1"/>
        <v>0.15793548387096776</v>
      </c>
    </row>
    <row r="11" spans="1:11" x14ac:dyDescent="0.25">
      <c r="A11" s="33">
        <v>5</v>
      </c>
      <c r="B11" s="35" t="s">
        <v>491</v>
      </c>
      <c r="C11" s="33">
        <v>2.4</v>
      </c>
      <c r="D11" s="33">
        <v>2015</v>
      </c>
      <c r="E11" s="33" t="s">
        <v>459</v>
      </c>
      <c r="F11" s="33" t="s">
        <v>453</v>
      </c>
      <c r="G11" s="42">
        <f>C11/1000</f>
        <v>2.3999999999999998E-3</v>
      </c>
      <c r="H11" s="42">
        <f>LEFT(F11,LEN(F11)-2)/1000</f>
        <v>0.25</v>
      </c>
      <c r="I11" s="42">
        <f>LEFT(E11,LEN(E11)-4)+0</f>
        <v>605</v>
      </c>
      <c r="J11" s="38">
        <f t="shared" si="0"/>
        <v>34.559999999999995</v>
      </c>
      <c r="K11" s="55">
        <f t="shared" si="1"/>
        <v>5.7123966942148753E-2</v>
      </c>
    </row>
    <row r="12" spans="1:11" x14ac:dyDescent="0.25">
      <c r="A12" s="33">
        <v>11</v>
      </c>
      <c r="B12" s="35" t="s">
        <v>497</v>
      </c>
      <c r="C12" s="33">
        <v>0.95</v>
      </c>
      <c r="D12" s="33">
        <v>2015</v>
      </c>
      <c r="E12" s="33" t="s">
        <v>469</v>
      </c>
      <c r="F12" s="33" t="s">
        <v>454</v>
      </c>
      <c r="G12" s="42">
        <f>C12/1000</f>
        <v>9.5E-4</v>
      </c>
      <c r="H12" s="42">
        <f>LEFT(F12,LEN(F12)-2)/1000</f>
        <v>0.3</v>
      </c>
      <c r="I12" s="42">
        <f>LEFT(E12,LEN(E12)-4)+0</f>
        <v>520</v>
      </c>
      <c r="J12" s="38">
        <f t="shared" si="0"/>
        <v>11.4</v>
      </c>
      <c r="K12" s="55">
        <f t="shared" si="1"/>
        <v>2.1923076923076924E-2</v>
      </c>
    </row>
    <row r="13" spans="1:11" x14ac:dyDescent="0.25">
      <c r="A13" s="33">
        <v>12</v>
      </c>
      <c r="B13" s="35" t="s">
        <v>498</v>
      </c>
      <c r="C13" s="33">
        <v>0.92</v>
      </c>
      <c r="D13" s="33">
        <v>2015</v>
      </c>
      <c r="E13" s="33" t="s">
        <v>470</v>
      </c>
      <c r="F13" s="33" t="s">
        <v>471</v>
      </c>
      <c r="G13" s="42">
        <f>C13/1000</f>
        <v>9.2000000000000003E-4</v>
      </c>
      <c r="H13" s="42">
        <f>LEFT(F13,LEN(F13)-2)/1000</f>
        <v>0.1</v>
      </c>
      <c r="I13" s="42">
        <f>LEFT(E13,LEN(E13)-4)+0</f>
        <v>113</v>
      </c>
      <c r="J13" s="38">
        <f t="shared" si="0"/>
        <v>33.119999999999997</v>
      </c>
      <c r="K13" s="55">
        <f t="shared" si="1"/>
        <v>0.29309734513274333</v>
      </c>
    </row>
    <row r="14" spans="1:11" x14ac:dyDescent="0.25">
      <c r="A14" s="33">
        <v>13</v>
      </c>
      <c r="B14" s="35" t="s">
        <v>499</v>
      </c>
      <c r="C14" s="33">
        <v>0.89</v>
      </c>
      <c r="D14" s="33">
        <v>2015</v>
      </c>
      <c r="E14" s="33" t="s">
        <v>472</v>
      </c>
      <c r="F14" s="33" t="s">
        <v>453</v>
      </c>
      <c r="G14" s="42">
        <f>C14/1000</f>
        <v>8.9000000000000006E-4</v>
      </c>
      <c r="H14" s="42">
        <f>LEFT(F14,LEN(F14)-2)/1000</f>
        <v>0.25</v>
      </c>
      <c r="I14" s="42">
        <f>LEFT(E14,LEN(E14)-4)+0</f>
        <v>445</v>
      </c>
      <c r="J14" s="38">
        <f t="shared" si="0"/>
        <v>12.816000000000001</v>
      </c>
      <c r="K14" s="55">
        <f t="shared" si="1"/>
        <v>2.8800000000000003E-2</v>
      </c>
    </row>
    <row r="15" spans="1:11" x14ac:dyDescent="0.25">
      <c r="A15" s="33">
        <v>16</v>
      </c>
      <c r="B15" s="35" t="s">
        <v>502</v>
      </c>
      <c r="C15" s="33">
        <v>0.66</v>
      </c>
      <c r="D15" s="33">
        <v>2015</v>
      </c>
      <c r="E15" s="33" t="s">
        <v>476</v>
      </c>
      <c r="F15" s="33" t="s">
        <v>461</v>
      </c>
      <c r="G15" s="42">
        <f>C15/1000</f>
        <v>6.6E-4</v>
      </c>
      <c r="H15" s="42">
        <f>LEFT(F15,LEN(F15)-2)/1000</f>
        <v>0.22</v>
      </c>
      <c r="I15" s="42">
        <f>LEFT(E15,LEN(E15)-4)+0</f>
        <v>438</v>
      </c>
      <c r="J15" s="38">
        <f t="shared" si="0"/>
        <v>10.799999999999999</v>
      </c>
      <c r="K15" s="55">
        <f t="shared" si="1"/>
        <v>2.4657534246575338E-2</v>
      </c>
    </row>
    <row r="16" spans="1:11" x14ac:dyDescent="0.25">
      <c r="A16" s="33">
        <v>18</v>
      </c>
      <c r="B16" s="35" t="s">
        <v>504</v>
      </c>
      <c r="C16" s="33">
        <v>0.52</v>
      </c>
      <c r="D16" s="33">
        <v>2015</v>
      </c>
      <c r="E16" s="33" t="s">
        <v>478</v>
      </c>
      <c r="F16" s="33" t="s">
        <v>471</v>
      </c>
      <c r="G16" s="42">
        <f>C16/1000</f>
        <v>5.2000000000000006E-4</v>
      </c>
      <c r="H16" s="42">
        <f>LEFT(F16,LEN(F16)-2)/1000</f>
        <v>0.1</v>
      </c>
      <c r="I16" s="42">
        <f>LEFT(E16,LEN(E16)-4)+0</f>
        <v>273</v>
      </c>
      <c r="J16" s="38">
        <f t="shared" si="0"/>
        <v>18.720000000000002</v>
      </c>
      <c r="K16" s="55">
        <f t="shared" si="1"/>
        <v>6.8571428571428575E-2</v>
      </c>
    </row>
    <row r="17" spans="1:11" x14ac:dyDescent="0.25">
      <c r="A17" s="33">
        <v>21</v>
      </c>
      <c r="B17" s="35" t="s">
        <v>507</v>
      </c>
      <c r="C17" s="33">
        <v>0.28999999999999998</v>
      </c>
      <c r="D17" s="33">
        <v>2015</v>
      </c>
      <c r="E17" s="33" t="s">
        <v>483</v>
      </c>
      <c r="F17" s="33" t="s">
        <v>484</v>
      </c>
      <c r="G17" s="42">
        <f>C17/1000</f>
        <v>2.9E-4</v>
      </c>
      <c r="H17" s="42">
        <f>LEFT(F17,LEN(F17)-2)/1000</f>
        <v>0.08</v>
      </c>
      <c r="I17" s="42">
        <f>LEFT(E17,LEN(E17)-4)+0</f>
        <v>125</v>
      </c>
      <c r="J17" s="38">
        <f t="shared" si="0"/>
        <v>13.05</v>
      </c>
      <c r="K17" s="55">
        <f t="shared" si="1"/>
        <v>0.10440000000000001</v>
      </c>
    </row>
    <row r="18" spans="1:11" x14ac:dyDescent="0.25">
      <c r="A18" s="39">
        <v>2</v>
      </c>
      <c r="B18" s="46" t="s">
        <v>488</v>
      </c>
      <c r="C18" s="40">
        <v>3.43</v>
      </c>
      <c r="D18" s="40">
        <v>2016</v>
      </c>
      <c r="E18" s="40" t="s">
        <v>511</v>
      </c>
      <c r="F18" s="40" t="s">
        <v>454</v>
      </c>
      <c r="G18" s="41">
        <f>C18/1000</f>
        <v>3.4300000000000003E-3</v>
      </c>
      <c r="H18" s="41">
        <f>LEFT(F18,LEN(F18)-2)/1000</f>
        <v>0.3</v>
      </c>
      <c r="I18" s="41">
        <f>LEFT(E18,LEN(E18)-4)+0</f>
        <v>2895</v>
      </c>
      <c r="J18" s="38">
        <f t="shared" si="0"/>
        <v>41.160000000000004</v>
      </c>
      <c r="K18" s="55">
        <f t="shared" si="1"/>
        <v>1.4217616580310882E-2</v>
      </c>
    </row>
    <row r="19" spans="1:11" x14ac:dyDescent="0.25">
      <c r="A19" s="47">
        <v>3</v>
      </c>
      <c r="B19" s="35" t="s">
        <v>489</v>
      </c>
      <c r="C19" s="33">
        <v>3.09</v>
      </c>
      <c r="D19" s="33">
        <v>2016</v>
      </c>
      <c r="E19" s="33" t="s">
        <v>455</v>
      </c>
      <c r="F19" s="33" t="s">
        <v>456</v>
      </c>
      <c r="G19" s="42">
        <f>C19/1000</f>
        <v>3.0899999999999999E-3</v>
      </c>
      <c r="H19" s="42">
        <f>LEFT(F19,LEN(F19)-2)/1000</f>
        <v>0.18</v>
      </c>
      <c r="I19" s="42">
        <f>LEFT(E19,LEN(E19)-4)+0</f>
        <v>619</v>
      </c>
      <c r="J19" s="38">
        <f t="shared" si="0"/>
        <v>61.8</v>
      </c>
      <c r="K19" s="55">
        <f t="shared" si="1"/>
        <v>9.9838449111470107E-2</v>
      </c>
    </row>
    <row r="20" spans="1:11" x14ac:dyDescent="0.25">
      <c r="A20" s="47">
        <v>4</v>
      </c>
      <c r="B20" s="35" t="s">
        <v>490</v>
      </c>
      <c r="C20" s="33">
        <v>2.83</v>
      </c>
      <c r="D20" s="33">
        <v>2016</v>
      </c>
      <c r="E20" s="33" t="s">
        <v>457</v>
      </c>
      <c r="F20" s="33" t="s">
        <v>458</v>
      </c>
      <c r="G20" s="42">
        <f>C20/1000</f>
        <v>2.8300000000000001E-3</v>
      </c>
      <c r="H20" s="42">
        <f>LEFT(F20,LEN(F20)-2)/1000</f>
        <v>0.15</v>
      </c>
      <c r="I20" s="42">
        <f>LEFT(E20,LEN(E20)-4)+0</f>
        <v>246</v>
      </c>
      <c r="J20" s="38">
        <f t="shared" si="0"/>
        <v>67.92</v>
      </c>
      <c r="K20" s="55">
        <f t="shared" si="1"/>
        <v>0.27609756097560978</v>
      </c>
    </row>
    <row r="21" spans="1:11" x14ac:dyDescent="0.25">
      <c r="A21" s="47">
        <v>10</v>
      </c>
      <c r="B21" s="35" t="s">
        <v>496</v>
      </c>
      <c r="C21" s="33">
        <v>1.01</v>
      </c>
      <c r="D21" s="33">
        <v>2016</v>
      </c>
      <c r="E21" s="33" t="s">
        <v>467</v>
      </c>
      <c r="F21" s="33" t="s">
        <v>468</v>
      </c>
      <c r="G21" s="42">
        <f>C21/1000</f>
        <v>1.01E-3</v>
      </c>
      <c r="H21" s="42">
        <f>LEFT(F21,LEN(F21)-2)/1000</f>
        <v>7.0000000000000007E-2</v>
      </c>
      <c r="I21" s="42">
        <f>LEFT(E21,LEN(E21)-4)+0</f>
        <v>171</v>
      </c>
      <c r="J21" s="38">
        <f t="shared" si="0"/>
        <v>51.942857142857143</v>
      </c>
      <c r="K21" s="55">
        <f t="shared" si="1"/>
        <v>0.30375939849624062</v>
      </c>
    </row>
    <row r="22" spans="1:11" x14ac:dyDescent="0.25">
      <c r="A22" s="43">
        <v>14</v>
      </c>
      <c r="B22" s="48" t="s">
        <v>500</v>
      </c>
      <c r="C22" s="44">
        <v>0.85</v>
      </c>
      <c r="D22" s="44">
        <v>2016</v>
      </c>
      <c r="E22" s="44" t="s">
        <v>473</v>
      </c>
      <c r="F22" s="44" t="s">
        <v>474</v>
      </c>
      <c r="G22" s="45">
        <f>C22/1000</f>
        <v>8.4999999999999995E-4</v>
      </c>
      <c r="H22" s="45">
        <f>LEFT(F22,LEN(F22)-2)/1000</f>
        <v>0.06</v>
      </c>
      <c r="I22" s="45">
        <f>LEFT(E22,LEN(E22)-4)+0</f>
        <v>170</v>
      </c>
      <c r="J22" s="38">
        <f t="shared" si="0"/>
        <v>50.999999999999993</v>
      </c>
      <c r="K22" s="55">
        <f t="shared" si="1"/>
        <v>0.29999999999999993</v>
      </c>
    </row>
    <row r="23" spans="1:11" x14ac:dyDescent="0.25">
      <c r="A23" s="49">
        <v>1</v>
      </c>
      <c r="B23" s="50" t="s">
        <v>487</v>
      </c>
      <c r="C23" s="51">
        <v>4.5999999999999996</v>
      </c>
      <c r="D23" s="51">
        <v>2017</v>
      </c>
      <c r="E23" s="52" t="s">
        <v>452</v>
      </c>
      <c r="F23" s="53" t="s">
        <v>453</v>
      </c>
      <c r="G23" s="54">
        <f>C23/1000</f>
        <v>4.5999999999999999E-3</v>
      </c>
      <c r="H23" s="54">
        <f>LEFT(F23,LEN(F23)-2)/1000</f>
        <v>0.25</v>
      </c>
      <c r="I23" s="54">
        <f>LEFT(E23,LEN(E23)-4)+0</f>
        <v>1041</v>
      </c>
      <c r="J23" s="38">
        <f t="shared" si="0"/>
        <v>66.239999999999995</v>
      </c>
      <c r="K23" s="55">
        <f t="shared" si="1"/>
        <v>6.3631123919308349E-2</v>
      </c>
    </row>
    <row r="24" spans="1:11" x14ac:dyDescent="0.25">
      <c r="A24" s="56" t="s">
        <v>516</v>
      </c>
    </row>
  </sheetData>
  <sortState xmlns:xlrd2="http://schemas.microsoft.com/office/spreadsheetml/2017/richdata2" ref="A2:J23">
    <sortCondition ref="D2:D23"/>
    <sortCondition descending="1" ref="C2:C23"/>
  </sortState>
  <phoneticPr fontId="18" type="noConversion"/>
  <hyperlinks>
    <hyperlink ref="A24" r:id="rId1" xr:uid="{BB7EF3AA-2EF4-4AD5-B795-3D60D77527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E297-E838-4A38-A980-0D0CB35E9F41}">
  <dimension ref="A2:N37"/>
  <sheetViews>
    <sheetView topLeftCell="A2" workbookViewId="0">
      <selection activeCell="N20" sqref="A20:N20"/>
    </sheetView>
  </sheetViews>
  <sheetFormatPr defaultRowHeight="15" x14ac:dyDescent="0.25"/>
  <cols>
    <col min="1" max="1" width="28.28515625" customWidth="1"/>
    <col min="2" max="2" width="9" customWidth="1"/>
    <col min="4" max="4" width="11.140625" bestFit="1" customWidth="1"/>
    <col min="6" max="6" width="8" bestFit="1" customWidth="1"/>
    <col min="7" max="7" width="6.140625" bestFit="1" customWidth="1"/>
    <col min="8" max="8" width="13.5703125" bestFit="1" customWidth="1"/>
    <col min="9" max="9" width="10.7109375" customWidth="1"/>
    <col min="10" max="10" width="9.5703125" customWidth="1"/>
    <col min="13" max="13" width="9.85546875" bestFit="1" customWidth="1"/>
  </cols>
  <sheetData>
    <row r="2" spans="1:14" x14ac:dyDescent="0.25">
      <c r="A2" s="1"/>
      <c r="B2" s="1"/>
      <c r="I2" t="s">
        <v>95</v>
      </c>
      <c r="J2">
        <v>1.2549999999999999</v>
      </c>
    </row>
    <row r="3" spans="1:14" s="5" customFormat="1" ht="24.75" thickBot="1" x14ac:dyDescent="0.25">
      <c r="A3" s="2" t="s">
        <v>0</v>
      </c>
      <c r="B3" s="2"/>
      <c r="D3" s="3" t="s">
        <v>1</v>
      </c>
      <c r="E3" s="4" t="s">
        <v>2</v>
      </c>
      <c r="F3" s="4" t="s">
        <v>3</v>
      </c>
      <c r="G3" s="3" t="s">
        <v>4</v>
      </c>
      <c r="H3" s="3" t="s">
        <v>5</v>
      </c>
      <c r="I3" s="3" t="s">
        <v>6</v>
      </c>
      <c r="J3" s="10" t="s">
        <v>94</v>
      </c>
      <c r="K3" s="8" t="s">
        <v>92</v>
      </c>
      <c r="L3" s="5" t="s">
        <v>93</v>
      </c>
      <c r="M3" s="5" t="s">
        <v>513</v>
      </c>
      <c r="N3" s="5" t="s">
        <v>514</v>
      </c>
    </row>
    <row r="4" spans="1:14" s="5" customFormat="1" ht="12.75" customHeight="1" thickTop="1" x14ac:dyDescent="0.25">
      <c r="A4" s="7" t="s">
        <v>34</v>
      </c>
      <c r="B4" s="7" t="s">
        <v>110</v>
      </c>
      <c r="C4" s="9">
        <v>43101</v>
      </c>
      <c r="D4" t="s">
        <v>35</v>
      </c>
      <c r="E4" t="s">
        <v>87</v>
      </c>
      <c r="F4" t="s">
        <v>88</v>
      </c>
      <c r="G4" t="s">
        <v>45</v>
      </c>
      <c r="H4" t="s">
        <v>36</v>
      </c>
      <c r="I4" t="s">
        <v>89</v>
      </c>
      <c r="J4">
        <v>182</v>
      </c>
      <c r="K4" s="8">
        <v>0.16</v>
      </c>
      <c r="L4" s="5">
        <v>410</v>
      </c>
      <c r="M4" s="11">
        <f>K4*60^2/(L4*1/1000)</f>
        <v>1404.8780487804879</v>
      </c>
      <c r="N4" s="12">
        <f>IFERROR(M4/J4,0)</f>
        <v>7.7191101581345487</v>
      </c>
    </row>
    <row r="5" spans="1:14" s="5" customFormat="1" x14ac:dyDescent="0.25">
      <c r="A5" s="7" t="s">
        <v>17</v>
      </c>
      <c r="B5" s="7" t="s">
        <v>103</v>
      </c>
      <c r="C5" s="9">
        <v>43191</v>
      </c>
      <c r="D5" t="s">
        <v>18</v>
      </c>
      <c r="E5" t="s">
        <v>57</v>
      </c>
      <c r="F5" t="s">
        <v>58</v>
      </c>
      <c r="G5" t="s">
        <v>59</v>
      </c>
      <c r="H5" t="s">
        <v>9</v>
      </c>
      <c r="I5" t="s">
        <v>60</v>
      </c>
      <c r="J5"/>
      <c r="K5" s="8">
        <v>2.1</v>
      </c>
      <c r="L5" s="5">
        <v>900</v>
      </c>
      <c r="M5" s="11">
        <f>K5*60^2/(L5*1/1000)</f>
        <v>8400</v>
      </c>
      <c r="N5" s="12">
        <f>IFERROR(M5/J5,0)</f>
        <v>0</v>
      </c>
    </row>
    <row r="6" spans="1:14" s="5" customFormat="1" x14ac:dyDescent="0.25">
      <c r="A6" s="7" t="s">
        <v>19</v>
      </c>
      <c r="B6" s="7" t="s">
        <v>108</v>
      </c>
      <c r="C6" s="9">
        <v>43191</v>
      </c>
      <c r="D6" t="s">
        <v>18</v>
      </c>
      <c r="E6" t="s">
        <v>61</v>
      </c>
      <c r="F6" t="s">
        <v>62</v>
      </c>
      <c r="G6" t="s">
        <v>59</v>
      </c>
      <c r="H6" t="s">
        <v>9</v>
      </c>
      <c r="I6" t="s">
        <v>63</v>
      </c>
      <c r="J6">
        <v>1655</v>
      </c>
      <c r="K6" s="8">
        <v>2.4</v>
      </c>
      <c r="L6" s="5">
        <v>1000</v>
      </c>
      <c r="M6" s="11">
        <f>K6*60^2/(L6*1/1000)</f>
        <v>8640</v>
      </c>
      <c r="N6" s="12">
        <f>IFERROR(M6/J6,0)</f>
        <v>5.2205438066465257</v>
      </c>
    </row>
    <row r="7" spans="1:14" s="5" customFormat="1" x14ac:dyDescent="0.25">
      <c r="A7" s="7" t="s">
        <v>32</v>
      </c>
      <c r="B7" s="7" t="s">
        <v>111</v>
      </c>
      <c r="C7" s="9">
        <v>43252</v>
      </c>
      <c r="D7" t="s">
        <v>8</v>
      </c>
      <c r="E7" t="s">
        <v>84</v>
      </c>
      <c r="F7" t="s">
        <v>85</v>
      </c>
      <c r="G7" t="s">
        <v>45</v>
      </c>
      <c r="H7" t="s">
        <v>33</v>
      </c>
      <c r="I7" t="s">
        <v>86</v>
      </c>
      <c r="J7">
        <v>950</v>
      </c>
      <c r="K7" s="8">
        <v>0.32</v>
      </c>
      <c r="L7" s="5">
        <v>1100</v>
      </c>
      <c r="M7" s="11">
        <f>K7*60^2/(L7*1/1000)</f>
        <v>1047.2727272727273</v>
      </c>
      <c r="N7" s="12">
        <f>IFERROR(M7/J7,0)</f>
        <v>1.1023923444976076</v>
      </c>
    </row>
    <row r="8" spans="1:14" s="5" customFormat="1" x14ac:dyDescent="0.25">
      <c r="A8" s="7" t="s">
        <v>7</v>
      </c>
      <c r="B8" s="7" t="s">
        <v>104</v>
      </c>
      <c r="C8" s="9">
        <v>43252</v>
      </c>
      <c r="D8" t="s">
        <v>8</v>
      </c>
      <c r="E8" t="s">
        <v>39</v>
      </c>
      <c r="F8" t="s">
        <v>40</v>
      </c>
      <c r="G8" t="s">
        <v>41</v>
      </c>
      <c r="H8" t="s">
        <v>9</v>
      </c>
      <c r="I8" t="s">
        <v>42</v>
      </c>
      <c r="J8">
        <f>600*$J$2</f>
        <v>752.99999999999989</v>
      </c>
      <c r="K8" s="8">
        <v>0.34</v>
      </c>
      <c r="L8" s="5">
        <v>180</v>
      </c>
      <c r="M8" s="11">
        <f>K8*60^2/(L8*1/1000)</f>
        <v>6800</v>
      </c>
      <c r="N8" s="12">
        <f>IFERROR(M8/J8,0)</f>
        <v>9.0305444887118203</v>
      </c>
    </row>
    <row r="9" spans="1:14" s="5" customFormat="1" x14ac:dyDescent="0.25">
      <c r="A9" s="7" t="s">
        <v>10</v>
      </c>
      <c r="B9" s="7" t="s">
        <v>102</v>
      </c>
      <c r="C9" s="9">
        <v>43252</v>
      </c>
      <c r="D9" t="s">
        <v>8</v>
      </c>
      <c r="E9" t="s">
        <v>43</v>
      </c>
      <c r="F9" t="s">
        <v>44</v>
      </c>
      <c r="G9" t="s">
        <v>45</v>
      </c>
      <c r="H9" t="s">
        <v>9</v>
      </c>
      <c r="I9" t="s">
        <v>46</v>
      </c>
      <c r="J9">
        <v>2000</v>
      </c>
      <c r="K9" s="8">
        <v>1.2</v>
      </c>
      <c r="L9" s="5">
        <v>500</v>
      </c>
      <c r="M9" s="11">
        <f>K9*60^2/(L9*1/1000)</f>
        <v>8640</v>
      </c>
      <c r="N9" s="12">
        <f>IFERROR(M9/J9,0)</f>
        <v>4.32</v>
      </c>
    </row>
    <row r="10" spans="1:14" s="5" customFormat="1" x14ac:dyDescent="0.25">
      <c r="A10" s="7" t="s">
        <v>31</v>
      </c>
      <c r="B10" s="7" t="s">
        <v>107</v>
      </c>
      <c r="C10" s="9">
        <v>43252</v>
      </c>
      <c r="D10" t="s">
        <v>8</v>
      </c>
      <c r="E10" t="s">
        <v>80</v>
      </c>
      <c r="F10" t="s">
        <v>81</v>
      </c>
      <c r="G10" t="s">
        <v>83</v>
      </c>
      <c r="H10" t="s">
        <v>9</v>
      </c>
      <c r="I10" t="s">
        <v>82</v>
      </c>
      <c r="J10"/>
      <c r="K10" s="8">
        <v>6</v>
      </c>
      <c r="L10" s="5">
        <v>2100</v>
      </c>
      <c r="M10" s="11">
        <f>K10*60^2/(L10*1/1000)</f>
        <v>10285.714285714284</v>
      </c>
      <c r="N10" s="12">
        <f>IFERROR(M10/J10,0)</f>
        <v>0</v>
      </c>
    </row>
    <row r="11" spans="1:14" s="5" customFormat="1" x14ac:dyDescent="0.25">
      <c r="A11" s="7" t="s">
        <v>28</v>
      </c>
      <c r="B11" s="7" t="s">
        <v>99</v>
      </c>
      <c r="C11" s="9">
        <v>43282</v>
      </c>
      <c r="D11" t="s">
        <v>29</v>
      </c>
      <c r="E11" t="s">
        <v>80</v>
      </c>
      <c r="F11" t="s">
        <v>81</v>
      </c>
      <c r="G11" t="s">
        <v>30</v>
      </c>
      <c r="H11" t="s">
        <v>9</v>
      </c>
      <c r="I11" t="s">
        <v>82</v>
      </c>
      <c r="J11"/>
      <c r="K11" s="8">
        <v>6</v>
      </c>
      <c r="L11" s="5">
        <v>2100</v>
      </c>
      <c r="M11" s="11">
        <f>K11*60^2/(L11*1/1000)</f>
        <v>10285.714285714284</v>
      </c>
      <c r="N11" s="12">
        <f>IFERROR(M11/J11,0)</f>
        <v>0</v>
      </c>
    </row>
    <row r="12" spans="1:14" s="5" customFormat="1" x14ac:dyDescent="0.25">
      <c r="A12" s="7" t="s">
        <v>22</v>
      </c>
      <c r="B12" s="7" t="s">
        <v>109</v>
      </c>
      <c r="C12" s="9">
        <v>43313</v>
      </c>
      <c r="D12" t="s">
        <v>21</v>
      </c>
      <c r="E12" t="s">
        <v>68</v>
      </c>
      <c r="F12" t="s">
        <v>69</v>
      </c>
      <c r="G12" t="s">
        <v>59</v>
      </c>
      <c r="H12" t="s">
        <v>9</v>
      </c>
      <c r="I12" t="s">
        <v>70</v>
      </c>
      <c r="J12">
        <f>1450*$J$2</f>
        <v>1819.7499999999998</v>
      </c>
      <c r="K12" s="8">
        <v>2.8</v>
      </c>
      <c r="L12" s="5">
        <v>1230</v>
      </c>
      <c r="M12" s="11">
        <f>K12*60^2/(L12*1/1000)</f>
        <v>8195.121951219513</v>
      </c>
      <c r="N12" s="12">
        <f>IFERROR(M12/J12,0)</f>
        <v>4.5034328623269753</v>
      </c>
    </row>
    <row r="13" spans="1:14" s="5" customFormat="1" x14ac:dyDescent="0.25">
      <c r="A13" s="7" t="s">
        <v>20</v>
      </c>
      <c r="B13" s="7" t="s">
        <v>101</v>
      </c>
      <c r="C13" s="9">
        <v>43313</v>
      </c>
      <c r="D13" t="s">
        <v>21</v>
      </c>
      <c r="E13" t="s">
        <v>64</v>
      </c>
      <c r="F13" t="s">
        <v>65</v>
      </c>
      <c r="G13" t="s">
        <v>66</v>
      </c>
      <c r="H13" t="s">
        <v>9</v>
      </c>
      <c r="I13" t="s">
        <v>67</v>
      </c>
      <c r="J13">
        <v>1500</v>
      </c>
      <c r="K13" s="8">
        <v>3.1</v>
      </c>
      <c r="L13" s="5">
        <v>980</v>
      </c>
      <c r="M13" s="11">
        <f>K13*60^2/(L13*1/1000)</f>
        <v>11387.755102040817</v>
      </c>
      <c r="N13" s="12">
        <f>IFERROR(M13/J13,0)</f>
        <v>7.591836734693878</v>
      </c>
    </row>
    <row r="14" spans="1:14" s="5" customFormat="1" x14ac:dyDescent="0.25">
      <c r="A14" s="7" t="s">
        <v>37</v>
      </c>
      <c r="B14" s="7" t="s">
        <v>106</v>
      </c>
      <c r="C14" s="9">
        <v>43313</v>
      </c>
      <c r="D14" t="s">
        <v>21</v>
      </c>
      <c r="E14" t="s">
        <v>90</v>
      </c>
      <c r="F14" t="s">
        <v>81</v>
      </c>
      <c r="G14" t="s">
        <v>49</v>
      </c>
      <c r="H14" t="s">
        <v>38</v>
      </c>
      <c r="I14" t="s">
        <v>91</v>
      </c>
      <c r="J14">
        <v>1500</v>
      </c>
      <c r="K14" s="8">
        <v>7</v>
      </c>
      <c r="L14" s="5">
        <v>2100</v>
      </c>
      <c r="M14" s="11">
        <f>K14*60^2/(L14*1/1000)</f>
        <v>12000</v>
      </c>
      <c r="N14" s="12">
        <f>IFERROR(M14/J14,0)</f>
        <v>8</v>
      </c>
    </row>
    <row r="15" spans="1:14" s="5" customFormat="1" x14ac:dyDescent="0.25">
      <c r="A15" s="7" t="s">
        <v>23</v>
      </c>
      <c r="B15" s="7" t="s">
        <v>100</v>
      </c>
      <c r="C15" s="9">
        <v>43344</v>
      </c>
      <c r="D15" t="s">
        <v>24</v>
      </c>
      <c r="E15" t="s">
        <v>71</v>
      </c>
      <c r="F15" t="s">
        <v>72</v>
      </c>
      <c r="G15" t="s">
        <v>49</v>
      </c>
      <c r="H15" t="s">
        <v>9</v>
      </c>
      <c r="I15" t="s">
        <v>73</v>
      </c>
      <c r="J15">
        <v>250</v>
      </c>
      <c r="K15" s="8">
        <v>7.8</v>
      </c>
      <c r="L15" s="5">
        <v>1410</v>
      </c>
      <c r="M15" s="11">
        <f>K15*60^2/(L15*1/1000)</f>
        <v>19914.893617021276</v>
      </c>
      <c r="N15" s="12">
        <f>IFERROR(M15/J15,0)</f>
        <v>79.659574468085111</v>
      </c>
    </row>
    <row r="16" spans="1:14" s="5" customFormat="1" x14ac:dyDescent="0.25">
      <c r="A16" s="7" t="s">
        <v>25</v>
      </c>
      <c r="B16" s="7" t="s">
        <v>98</v>
      </c>
      <c r="C16" s="9">
        <v>43374</v>
      </c>
      <c r="D16" t="s">
        <v>26</v>
      </c>
      <c r="E16" t="s">
        <v>74</v>
      </c>
      <c r="F16" t="s">
        <v>75</v>
      </c>
      <c r="G16" t="s">
        <v>49</v>
      </c>
      <c r="H16" t="s">
        <v>9</v>
      </c>
      <c r="I16" t="s">
        <v>76</v>
      </c>
      <c r="J16">
        <v>875</v>
      </c>
      <c r="K16" s="8">
        <v>11</v>
      </c>
      <c r="L16" s="5">
        <v>1600</v>
      </c>
      <c r="M16" s="11">
        <f>K16*60^2/(L16*1/1000)</f>
        <v>24750</v>
      </c>
      <c r="N16" s="12">
        <f>IFERROR(M16/J16,0)</f>
        <v>28.285714285714285</v>
      </c>
    </row>
    <row r="17" spans="1:14" s="5" customFormat="1" x14ac:dyDescent="0.25">
      <c r="A17" s="7" t="s">
        <v>27</v>
      </c>
      <c r="B17" s="7" t="s">
        <v>97</v>
      </c>
      <c r="C17" s="9">
        <v>43374</v>
      </c>
      <c r="D17" t="s">
        <v>26</v>
      </c>
      <c r="E17" t="s">
        <v>77</v>
      </c>
      <c r="F17" t="s">
        <v>78</v>
      </c>
      <c r="G17" t="s">
        <v>49</v>
      </c>
      <c r="H17" t="s">
        <v>9</v>
      </c>
      <c r="I17" t="s">
        <v>79</v>
      </c>
      <c r="J17">
        <v>1630</v>
      </c>
      <c r="K17" s="8">
        <v>12.8</v>
      </c>
      <c r="L17" s="5">
        <v>1850</v>
      </c>
      <c r="M17" s="11">
        <f>K17*60^2/(L17*1/1000)</f>
        <v>24908.108108108107</v>
      </c>
      <c r="N17" s="12">
        <f>IFERROR(M17/J17,0)</f>
        <v>15.281047919084727</v>
      </c>
    </row>
    <row r="18" spans="1:14" s="5" customFormat="1" x14ac:dyDescent="0.25">
      <c r="A18" s="7" t="s">
        <v>13</v>
      </c>
      <c r="B18" s="7" t="s">
        <v>99</v>
      </c>
      <c r="C18" s="9">
        <v>43405</v>
      </c>
      <c r="D18" t="s">
        <v>14</v>
      </c>
      <c r="E18" t="s">
        <v>51</v>
      </c>
      <c r="F18" t="s">
        <v>48</v>
      </c>
      <c r="G18" t="s">
        <v>52</v>
      </c>
      <c r="H18" t="s">
        <v>9</v>
      </c>
      <c r="I18" t="s">
        <v>53</v>
      </c>
      <c r="J18">
        <f>850*$J$2</f>
        <v>1066.75</v>
      </c>
      <c r="K18" s="8">
        <v>48</v>
      </c>
      <c r="L18" s="5">
        <v>2200</v>
      </c>
      <c r="M18" s="11">
        <f>K18*60^2/(L18*1/1000)</f>
        <v>78545.454545454544</v>
      </c>
      <c r="N18" s="12">
        <f>IFERROR(M18/J18,0)</f>
        <v>73.630611244860134</v>
      </c>
    </row>
    <row r="19" spans="1:14" s="5" customFormat="1" x14ac:dyDescent="0.25">
      <c r="A19" s="7" t="s">
        <v>15</v>
      </c>
      <c r="B19" s="7" t="s">
        <v>105</v>
      </c>
      <c r="C19" s="9">
        <v>43435</v>
      </c>
      <c r="D19" t="s">
        <v>16</v>
      </c>
      <c r="E19" t="s">
        <v>54</v>
      </c>
      <c r="F19" t="s">
        <v>55</v>
      </c>
      <c r="G19" t="s">
        <v>49</v>
      </c>
      <c r="H19" t="s">
        <v>9</v>
      </c>
      <c r="I19" t="s">
        <v>56</v>
      </c>
      <c r="J19">
        <f>1350*$J$2</f>
        <v>1694.2499999999998</v>
      </c>
      <c r="K19" s="8">
        <v>34</v>
      </c>
      <c r="L19" s="5">
        <v>1800</v>
      </c>
      <c r="M19" s="11">
        <f>K19*60^2/(L19*1/1000)</f>
        <v>68000</v>
      </c>
      <c r="N19" s="12">
        <f>IFERROR(M19/J19,0)</f>
        <v>40.135753283163645</v>
      </c>
    </row>
    <row r="20" spans="1:14" s="5" customFormat="1" x14ac:dyDescent="0.25">
      <c r="A20" s="7" t="s">
        <v>11</v>
      </c>
      <c r="B20" s="7" t="s">
        <v>96</v>
      </c>
      <c r="C20" s="9">
        <v>43647</v>
      </c>
      <c r="D20" t="s">
        <v>12</v>
      </c>
      <c r="E20" t="s">
        <v>47</v>
      </c>
      <c r="F20" t="s">
        <v>48</v>
      </c>
      <c r="G20" t="s">
        <v>49</v>
      </c>
      <c r="H20" t="s">
        <v>9</v>
      </c>
      <c r="I20" t="s">
        <v>50</v>
      </c>
      <c r="J20">
        <f>900*$J$2</f>
        <v>1129.5</v>
      </c>
      <c r="K20" s="8">
        <v>52</v>
      </c>
      <c r="L20" s="5">
        <v>2200</v>
      </c>
      <c r="M20" s="11">
        <f>K20*60^2/(L20*1/1000)</f>
        <v>85090.909090909088</v>
      </c>
      <c r="N20" s="12">
        <f>IFERROR(M20/J20,0)</f>
        <v>75.335023542194861</v>
      </c>
    </row>
    <row r="21" spans="1:14" s="5" customFormat="1" ht="15" customHeight="1" x14ac:dyDescent="0.2">
      <c r="A21" s="6"/>
      <c r="B21" s="6"/>
    </row>
    <row r="22" spans="1:14" s="5" customFormat="1" x14ac:dyDescent="0.25">
      <c r="A22" s="6"/>
      <c r="B22" s="6"/>
      <c r="D22"/>
      <c r="E22"/>
      <c r="F22"/>
      <c r="G22"/>
      <c r="H22"/>
      <c r="I22"/>
      <c r="J22"/>
    </row>
    <row r="23" spans="1:14" s="5" customFormat="1" x14ac:dyDescent="0.25">
      <c r="A23" s="6"/>
      <c r="B23" s="6"/>
      <c r="D23"/>
      <c r="E23"/>
      <c r="F23"/>
      <c r="G23"/>
      <c r="H23"/>
      <c r="I23"/>
      <c r="J23"/>
    </row>
    <row r="24" spans="1:14" s="5" customFormat="1" x14ac:dyDescent="0.25">
      <c r="A24" s="6"/>
      <c r="B24" s="6"/>
      <c r="D24"/>
      <c r="E24"/>
      <c r="F24"/>
      <c r="G24"/>
      <c r="H24"/>
      <c r="I24"/>
      <c r="J24"/>
    </row>
    <row r="25" spans="1:14" s="5" customFormat="1" x14ac:dyDescent="0.25">
      <c r="A25" s="6"/>
      <c r="B25" s="6"/>
      <c r="D25"/>
      <c r="E25"/>
      <c r="F25"/>
      <c r="G25"/>
      <c r="H25"/>
      <c r="I25"/>
      <c r="J25"/>
    </row>
    <row r="26" spans="1:14" s="5" customFormat="1" x14ac:dyDescent="0.25">
      <c r="A26" s="6"/>
      <c r="B26" s="6"/>
      <c r="D26"/>
      <c r="E26"/>
      <c r="F26"/>
      <c r="G26"/>
      <c r="H26"/>
      <c r="I26"/>
      <c r="J26"/>
    </row>
    <row r="27" spans="1:14" s="5" customFormat="1" x14ac:dyDescent="0.25">
      <c r="A27" s="6"/>
      <c r="B27" s="6"/>
      <c r="D27"/>
      <c r="E27"/>
      <c r="F27"/>
      <c r="G27"/>
      <c r="H27"/>
      <c r="I27"/>
      <c r="J27"/>
    </row>
    <row r="28" spans="1:14" s="5" customFormat="1" x14ac:dyDescent="0.25">
      <c r="A28" s="6"/>
      <c r="B28" s="6"/>
      <c r="D28"/>
      <c r="E28"/>
      <c r="F28"/>
      <c r="G28"/>
      <c r="H28"/>
      <c r="I28"/>
      <c r="J28"/>
    </row>
    <row r="29" spans="1:14" s="5" customFormat="1" x14ac:dyDescent="0.25">
      <c r="A29" s="6"/>
      <c r="B29" s="6"/>
      <c r="D29"/>
      <c r="E29"/>
      <c r="F29"/>
      <c r="G29"/>
      <c r="H29"/>
      <c r="I29"/>
      <c r="J29"/>
    </row>
    <row r="30" spans="1:14" s="5" customFormat="1" x14ac:dyDescent="0.25">
      <c r="A30" s="6"/>
      <c r="B30" s="6"/>
      <c r="D30"/>
      <c r="E30"/>
      <c r="F30"/>
      <c r="G30"/>
      <c r="H30"/>
      <c r="I30"/>
      <c r="J30"/>
    </row>
    <row r="31" spans="1:14" s="5" customFormat="1" x14ac:dyDescent="0.25">
      <c r="A31" s="6"/>
      <c r="B31" s="6"/>
      <c r="D31"/>
      <c r="E31"/>
      <c r="F31"/>
      <c r="G31"/>
      <c r="H31"/>
      <c r="I31"/>
      <c r="J31"/>
    </row>
    <row r="32" spans="1:14" s="5" customFormat="1" x14ac:dyDescent="0.25">
      <c r="A32" s="6"/>
      <c r="B32" s="6"/>
      <c r="D32"/>
      <c r="E32"/>
      <c r="F32"/>
      <c r="G32"/>
      <c r="H32"/>
      <c r="I32"/>
      <c r="J32"/>
    </row>
    <row r="33" spans="1:10" s="5" customFormat="1" x14ac:dyDescent="0.25">
      <c r="A33" s="6"/>
      <c r="B33" s="6"/>
      <c r="D33"/>
      <c r="E33"/>
      <c r="F33"/>
      <c r="G33"/>
      <c r="H33"/>
      <c r="I33"/>
      <c r="J33"/>
    </row>
    <row r="34" spans="1:10" s="5" customFormat="1" x14ac:dyDescent="0.25">
      <c r="A34" s="6"/>
      <c r="B34" s="6"/>
      <c r="D34"/>
      <c r="E34"/>
      <c r="F34"/>
      <c r="G34"/>
      <c r="H34"/>
      <c r="I34"/>
      <c r="J34"/>
    </row>
    <row r="35" spans="1:10" s="5" customFormat="1" x14ac:dyDescent="0.25">
      <c r="A35" s="6"/>
      <c r="B35" s="6"/>
      <c r="D35"/>
      <c r="E35"/>
      <c r="F35"/>
      <c r="G35"/>
      <c r="H35"/>
      <c r="I35"/>
      <c r="J35"/>
    </row>
    <row r="36" spans="1:10" s="5" customFormat="1" x14ac:dyDescent="0.25">
      <c r="A36" s="6"/>
      <c r="B36" s="6"/>
      <c r="D36"/>
      <c r="E36"/>
      <c r="F36"/>
      <c r="G36"/>
      <c r="H36"/>
      <c r="I36"/>
      <c r="J36"/>
    </row>
    <row r="37" spans="1:10" s="5" customFormat="1" x14ac:dyDescent="0.25">
      <c r="A37" s="6"/>
      <c r="B37" s="6"/>
      <c r="D37"/>
      <c r="E37"/>
      <c r="F37"/>
      <c r="G37"/>
      <c r="H37"/>
      <c r="I37"/>
      <c r="J37"/>
    </row>
  </sheetData>
  <autoFilter ref="A3:M3" xr:uid="{37FBFEAF-C740-4061-98CE-10CE129AA8E5}">
    <sortState xmlns:xlrd2="http://schemas.microsoft.com/office/spreadsheetml/2017/richdata2" ref="A4:M20">
      <sortCondition descending="1" ref="C3"/>
    </sortState>
  </autoFilter>
  <sortState xmlns:xlrd2="http://schemas.microsoft.com/office/spreadsheetml/2017/richdata2" ref="A4:N20">
    <sortCondition ref="C4:C20"/>
    <sortCondition ref="M4:M20"/>
  </sortState>
  <hyperlinks>
    <hyperlink ref="A8" r:id="rId1" display="https://www.asicminervalue.com/miners/ffminer/decred-d18" xr:uid="{7DAB285A-DB49-4864-B703-10672A496B6E}"/>
    <hyperlink ref="A9" r:id="rId2" display="https://www.asicminervalue.com/miners/obelisk/dcr1" xr:uid="{6540B519-9E94-4662-B576-B79B29588CF7}"/>
    <hyperlink ref="A20" r:id="rId3" display="https://www.asicminervalue.com/miners/strongu/stu-u1-2" xr:uid="{4D259021-DB23-4471-A844-A26588D80847}"/>
    <hyperlink ref="A18" r:id="rId4" display="https://www.asicminervalue.com/miners/microbt/whatsminer-d1" xr:uid="{F46CC099-51C6-4EFF-A397-EC19EB4B7F5A}"/>
    <hyperlink ref="A19" r:id="rId5" display="https://www.asicminervalue.com/miners/bitmain/antminer-dr5-34th" xr:uid="{9DBB61BD-D425-4071-BF1E-1B2F639C0C5B}"/>
    <hyperlink ref="A5" r:id="rId6" display="https://www.asicminervalue.com/miners/halong-mining/dragonmint-b29" xr:uid="{F6C10D18-41D3-4070-B55E-3E4814F9655C}"/>
    <hyperlink ref="A6" r:id="rId7" display="https://www.asicminervalue.com/miners/innosilicon/d9-decredmaster" xr:uid="{D6C57465-A114-4FFF-BD29-3DD54A60343F}"/>
    <hyperlink ref="A13" r:id="rId8" display="https://www.asicminervalue.com/miners/ffminer/ds19" xr:uid="{572F9D3F-1C92-42C0-AE03-D0BCD1856FBC}"/>
    <hyperlink ref="A12" r:id="rId9" display="https://www.asicminervalue.com/miners/innosilicon/d9-decredmaster-1" xr:uid="{4E089F9B-DC62-4804-BC24-2C9634E3A1A4}"/>
    <hyperlink ref="A15" r:id="rId10" display="https://www.asicminervalue.com/miners/bitmain/antminer-dr3" xr:uid="{8E2FF4EA-207A-4985-8685-629CB8AC9F3A}"/>
    <hyperlink ref="A16" r:id="rId11" display="https://www.asicminervalue.com/miners/strongu/stu-u1" xr:uid="{333BF4D4-3A00-4FD3-AA3E-AF3486E4B381}"/>
    <hyperlink ref="A17" r:id="rId12" display="https://www.asicminervalue.com/miners/strongu/stu-u1-1" xr:uid="{EBBCF63F-FB18-404D-84CA-BC873AFFE58F}"/>
    <hyperlink ref="A11" r:id="rId13" display="https://www.asicminervalue.com/miners/bitfily/snow-panther-d1" xr:uid="{418B6525-67B2-4268-8488-58BA56726E35}"/>
    <hyperlink ref="A10" r:id="rId14" display="https://www.asicminervalue.com/miners/ibelink/dsm6t" xr:uid="{AD875A6F-81B4-470C-AD3A-03E779D8DEE3}"/>
    <hyperlink ref="A7" r:id="rId15" display="https://www.asicminervalue.com/miners/baikal/bk-d" xr:uid="{4572A6FB-6F49-4BED-ACAB-48D5CDC1C8B9}"/>
    <hyperlink ref="A4" r:id="rId16" display="https://www.asicminervalue.com/miners/baikal/bk-b" xr:uid="{862DD662-B4EF-481A-B89B-289015B8AE34}"/>
    <hyperlink ref="A14" r:id="rId17" display="https://www.asicminervalue.com/miners/ibelink/dsm7t" xr:uid="{04CFF2B0-1F38-47E6-AEF6-B6E208EB3B1C}"/>
  </hyperlinks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E4B-FCDD-4425-BBCA-0D6AD947D2E5}">
  <dimension ref="A1:G17"/>
  <sheetViews>
    <sheetView tabSelected="1" workbookViewId="0">
      <selection activeCell="G18" sqref="G18"/>
    </sheetView>
  </sheetViews>
  <sheetFormatPr defaultRowHeight="15" x14ac:dyDescent="0.25"/>
  <cols>
    <col min="1" max="1" width="8.5703125" bestFit="1" customWidth="1"/>
    <col min="2" max="2" width="5" bestFit="1" customWidth="1"/>
    <col min="3" max="3" width="7" bestFit="1" customWidth="1"/>
    <col min="4" max="4" width="12.42578125" bestFit="1" customWidth="1"/>
    <col min="5" max="5" width="10.5703125" bestFit="1" customWidth="1"/>
    <col min="6" max="6" width="15.140625" bestFit="1" customWidth="1"/>
    <col min="7" max="7" width="26.85546875" bestFit="1" customWidth="1"/>
  </cols>
  <sheetData>
    <row r="1" spans="1:7" x14ac:dyDescent="0.25">
      <c r="A1" t="s">
        <v>438</v>
      </c>
      <c r="B1" t="s">
        <v>443</v>
      </c>
      <c r="C1" t="s">
        <v>439</v>
      </c>
      <c r="D1" t="s">
        <v>444</v>
      </c>
      <c r="E1" t="s">
        <v>442</v>
      </c>
      <c r="F1" t="s">
        <v>441</v>
      </c>
      <c r="G1" t="s">
        <v>445</v>
      </c>
    </row>
    <row r="2" spans="1:7" x14ac:dyDescent="0.25">
      <c r="A2" s="27">
        <v>42370</v>
      </c>
      <c r="B2" t="s">
        <v>518</v>
      </c>
      <c r="C2">
        <v>1080</v>
      </c>
      <c r="D2">
        <v>619</v>
      </c>
      <c r="E2" s="58">
        <v>0.18</v>
      </c>
      <c r="F2" s="57">
        <v>3.0899999999999999E-3</v>
      </c>
      <c r="G2" t="s">
        <v>489</v>
      </c>
    </row>
    <row r="3" spans="1:7" x14ac:dyDescent="0.25">
      <c r="A3" s="27">
        <v>42370</v>
      </c>
      <c r="B3" t="s">
        <v>518</v>
      </c>
      <c r="C3">
        <v>1070</v>
      </c>
      <c r="D3">
        <v>246</v>
      </c>
      <c r="E3" s="58">
        <v>0.15</v>
      </c>
      <c r="F3" s="57">
        <v>2.8300000000000001E-3</v>
      </c>
      <c r="G3" t="s">
        <v>490</v>
      </c>
    </row>
    <row r="4" spans="1:7" x14ac:dyDescent="0.25">
      <c r="A4" s="27">
        <v>42736</v>
      </c>
      <c r="B4" t="s">
        <v>518</v>
      </c>
      <c r="C4" t="s">
        <v>517</v>
      </c>
      <c r="D4">
        <v>1041</v>
      </c>
      <c r="E4">
        <v>0.25</v>
      </c>
      <c r="F4" s="57">
        <v>4.5999999999999999E-3</v>
      </c>
      <c r="G4" t="s">
        <v>487</v>
      </c>
    </row>
    <row r="5" spans="1:7" x14ac:dyDescent="0.25">
      <c r="A5" s="27">
        <v>43101</v>
      </c>
      <c r="B5" t="s">
        <v>440</v>
      </c>
      <c r="C5" t="s">
        <v>110</v>
      </c>
      <c r="D5">
        <v>182</v>
      </c>
      <c r="E5" s="58">
        <v>0.41</v>
      </c>
      <c r="F5" s="57">
        <v>0.16</v>
      </c>
      <c r="G5" t="s">
        <v>34</v>
      </c>
    </row>
    <row r="6" spans="1:7" x14ac:dyDescent="0.25">
      <c r="A6" s="27">
        <v>43191</v>
      </c>
      <c r="B6" t="s">
        <v>440</v>
      </c>
      <c r="C6" t="s">
        <v>108</v>
      </c>
      <c r="D6">
        <v>1655</v>
      </c>
      <c r="E6" s="58">
        <v>1</v>
      </c>
      <c r="F6" s="57">
        <v>2.4</v>
      </c>
      <c r="G6" t="s">
        <v>19</v>
      </c>
    </row>
    <row r="7" spans="1:7" x14ac:dyDescent="0.25">
      <c r="A7" s="27">
        <v>43252</v>
      </c>
      <c r="B7" t="s">
        <v>440</v>
      </c>
      <c r="C7" t="s">
        <v>102</v>
      </c>
      <c r="D7">
        <v>2000</v>
      </c>
      <c r="E7" s="58">
        <v>0.5</v>
      </c>
      <c r="F7" s="57">
        <v>1.2</v>
      </c>
      <c r="G7" t="s">
        <v>10</v>
      </c>
    </row>
    <row r="8" spans="1:7" x14ac:dyDescent="0.25">
      <c r="A8" s="27">
        <v>43313</v>
      </c>
      <c r="B8" t="s">
        <v>440</v>
      </c>
      <c r="C8" t="s">
        <v>106</v>
      </c>
      <c r="D8">
        <v>1500</v>
      </c>
      <c r="E8" s="58">
        <v>2.1</v>
      </c>
      <c r="F8" s="57">
        <v>7</v>
      </c>
      <c r="G8" t="s">
        <v>37</v>
      </c>
    </row>
    <row r="9" spans="1:7" x14ac:dyDescent="0.25">
      <c r="A9" s="27">
        <v>43374</v>
      </c>
      <c r="B9" t="s">
        <v>440</v>
      </c>
      <c r="C9" t="s">
        <v>97</v>
      </c>
      <c r="D9">
        <v>1630</v>
      </c>
      <c r="E9" s="58">
        <v>1.85</v>
      </c>
      <c r="F9" s="57">
        <v>12.8</v>
      </c>
      <c r="G9" t="s">
        <v>27</v>
      </c>
    </row>
    <row r="10" spans="1:7" x14ac:dyDescent="0.25">
      <c r="A10" s="27">
        <v>43405</v>
      </c>
      <c r="B10" t="s">
        <v>440</v>
      </c>
      <c r="C10" t="s">
        <v>99</v>
      </c>
      <c r="D10">
        <v>1070</v>
      </c>
      <c r="E10" s="58">
        <v>2.2000000000000002</v>
      </c>
      <c r="F10" s="57">
        <v>48</v>
      </c>
      <c r="G10" t="s">
        <v>13</v>
      </c>
    </row>
    <row r="11" spans="1:7" x14ac:dyDescent="0.25">
      <c r="A11" s="27">
        <v>43647</v>
      </c>
      <c r="B11" t="s">
        <v>440</v>
      </c>
      <c r="C11" t="s">
        <v>96</v>
      </c>
      <c r="D11">
        <v>1130</v>
      </c>
      <c r="E11" s="58">
        <v>2.2000000000000002</v>
      </c>
      <c r="F11" s="57">
        <v>52</v>
      </c>
      <c r="G11" t="s">
        <v>11</v>
      </c>
    </row>
    <row r="12" spans="1:7" x14ac:dyDescent="0.25">
      <c r="A12" s="27"/>
    </row>
    <row r="13" spans="1:7" x14ac:dyDescent="0.25">
      <c r="A13" s="27"/>
    </row>
    <row r="14" spans="1:7" x14ac:dyDescent="0.25">
      <c r="A14" s="27"/>
    </row>
    <row r="15" spans="1:7" x14ac:dyDescent="0.25">
      <c r="A15" s="27"/>
    </row>
    <row r="16" spans="1:7" x14ac:dyDescent="0.25">
      <c r="A16" s="27"/>
    </row>
    <row r="17" spans="1:1" x14ac:dyDescent="0.25">
      <c r="A17" s="27"/>
    </row>
  </sheetData>
  <autoFilter ref="A1:G11" xr:uid="{5BD1D22B-1577-4E54-B961-9F3A5834CBCA}">
    <sortState xmlns:xlrd2="http://schemas.microsoft.com/office/spreadsheetml/2017/richdata2" ref="A2:G11">
      <sortCondition ref="A1:A1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E39A-810C-41EE-AD59-94610CD98D48}">
  <dimension ref="B2:N85"/>
  <sheetViews>
    <sheetView zoomScale="115" zoomScaleNormal="115" workbookViewId="0">
      <selection activeCell="P13" sqref="P13"/>
    </sheetView>
  </sheetViews>
  <sheetFormatPr defaultRowHeight="15" x14ac:dyDescent="0.25"/>
  <cols>
    <col min="2" max="2" width="27" customWidth="1"/>
    <col min="3" max="3" width="11.140625" bestFit="1" customWidth="1"/>
    <col min="5" max="5" width="8" bestFit="1" customWidth="1"/>
    <col min="6" max="6" width="5.85546875" bestFit="1" customWidth="1"/>
    <col min="7" max="7" width="9.28515625" bestFit="1" customWidth="1"/>
    <col min="8" max="8" width="14.28515625" bestFit="1" customWidth="1"/>
  </cols>
  <sheetData>
    <row r="2" spans="2:14" s="13" customFormat="1" ht="11.25" x14ac:dyDescent="0.2">
      <c r="K2" s="13" t="s">
        <v>435</v>
      </c>
      <c r="L2" s="13" t="s">
        <v>93</v>
      </c>
      <c r="M2" s="13" t="s">
        <v>436</v>
      </c>
      <c r="N2" s="13" t="s">
        <v>437</v>
      </c>
    </row>
    <row r="3" spans="2:14" s="13" customFormat="1" ht="12.75" thickBot="1" x14ac:dyDescent="0.25">
      <c r="B3" s="14" t="s">
        <v>220</v>
      </c>
      <c r="C3" s="19" t="s">
        <v>219</v>
      </c>
      <c r="D3" s="18" t="s">
        <v>433</v>
      </c>
      <c r="E3" s="18" t="s">
        <v>381</v>
      </c>
      <c r="F3" s="18" t="s">
        <v>254</v>
      </c>
      <c r="G3" s="18" t="s">
        <v>114</v>
      </c>
      <c r="H3" s="24" t="s">
        <v>434</v>
      </c>
      <c r="I3" s="13">
        <f>LEFT(D3,LEN(D3)-4)+0</f>
        <v>110</v>
      </c>
      <c r="J3" s="13" t="str">
        <f>LEFT(RIGHT(D3,4),1)</f>
        <v>T</v>
      </c>
      <c r="K3" s="13">
        <f>IF(J3="T",I3,I3/1000)</f>
        <v>110</v>
      </c>
      <c r="L3" s="13">
        <f>LEFT(E3,LEN(E3)-1)+0</f>
        <v>3250</v>
      </c>
      <c r="M3" s="11">
        <f>K3*60^2/(L3*1/1000)</f>
        <v>121846.15384615384</v>
      </c>
      <c r="N3" s="26">
        <f>DATE(RIGHT(C3,4)+0,MONTH(1&amp;LEFT(LEFT(C3,3),3)),1)</f>
        <v>43952</v>
      </c>
    </row>
    <row r="4" spans="2:14" s="13" customFormat="1" ht="12.75" thickBot="1" x14ac:dyDescent="0.25">
      <c r="B4" s="14" t="s">
        <v>218</v>
      </c>
      <c r="C4" s="19" t="s">
        <v>219</v>
      </c>
      <c r="D4" s="18" t="s">
        <v>431</v>
      </c>
      <c r="E4" s="18" t="s">
        <v>381</v>
      </c>
      <c r="F4" s="18" t="s">
        <v>254</v>
      </c>
      <c r="G4" s="18" t="s">
        <v>114</v>
      </c>
      <c r="H4" s="20" t="s">
        <v>432</v>
      </c>
      <c r="I4" s="13">
        <f>LEFT(D4,LEN(D4)-4)+0</f>
        <v>95</v>
      </c>
      <c r="J4" s="13" t="str">
        <f>LEFT(RIGHT(D4,4),1)</f>
        <v>T</v>
      </c>
      <c r="K4" s="13">
        <f>IF(J4="T",I4,I4/1000)</f>
        <v>95</v>
      </c>
      <c r="L4" s="13">
        <f t="shared" ref="L4:L67" si="0">LEFT(E4,LEN(E4)-1)+0</f>
        <v>3250</v>
      </c>
      <c r="M4" s="11">
        <f t="shared" ref="M4:M67" si="1">K4*60^2/(L4*1/1000)</f>
        <v>105230.76923076923</v>
      </c>
      <c r="N4" s="26">
        <f t="shared" ref="N4:N67" si="2">DATE(RIGHT(C4,4)+0,MONTH(1&amp;LEFT(LEFT(C4,3),3)),1)</f>
        <v>43952</v>
      </c>
    </row>
    <row r="5" spans="2:14" s="13" customFormat="1" ht="12" x14ac:dyDescent="0.2">
      <c r="B5" s="14" t="s">
        <v>217</v>
      </c>
      <c r="C5" s="19" t="s">
        <v>213</v>
      </c>
      <c r="D5" s="18" t="s">
        <v>428</v>
      </c>
      <c r="E5" s="18" t="s">
        <v>429</v>
      </c>
      <c r="F5" s="18" t="s">
        <v>246</v>
      </c>
      <c r="G5" s="18" t="s">
        <v>114</v>
      </c>
      <c r="H5" s="22" t="s">
        <v>430</v>
      </c>
      <c r="I5" s="13">
        <f>LEFT(D5,LEN(D5)-4)+0</f>
        <v>86</v>
      </c>
      <c r="J5" s="13" t="str">
        <f>LEFT(RIGHT(D5,4),1)</f>
        <v>T</v>
      </c>
      <c r="K5" s="13">
        <f>IF(J5="T",I5,I5/1000)</f>
        <v>86</v>
      </c>
      <c r="L5" s="13">
        <f t="shared" si="0"/>
        <v>3268</v>
      </c>
      <c r="M5" s="11">
        <f t="shared" si="1"/>
        <v>94736.84210526316</v>
      </c>
      <c r="N5" s="26">
        <f t="shared" si="2"/>
        <v>43922</v>
      </c>
    </row>
    <row r="6" spans="2:14" s="13" customFormat="1" ht="12" x14ac:dyDescent="0.2">
      <c r="B6" s="14" t="s">
        <v>216</v>
      </c>
      <c r="C6" s="19" t="s">
        <v>14</v>
      </c>
      <c r="D6" s="18" t="s">
        <v>425</v>
      </c>
      <c r="E6" s="18" t="s">
        <v>426</v>
      </c>
      <c r="F6" s="18" t="s">
        <v>392</v>
      </c>
      <c r="G6" s="18" t="s">
        <v>114</v>
      </c>
      <c r="H6" s="20" t="s">
        <v>427</v>
      </c>
      <c r="I6" s="13">
        <f>LEFT(D6,LEN(D6)-4)+0</f>
        <v>80</v>
      </c>
      <c r="J6" s="13" t="str">
        <f>LEFT(RIGHT(D6,4),1)</f>
        <v>T</v>
      </c>
      <c r="K6" s="13">
        <f>IF(J6="T",I6,I6/1000)</f>
        <v>80</v>
      </c>
      <c r="L6" s="13">
        <f t="shared" si="0"/>
        <v>6300</v>
      </c>
      <c r="M6" s="11">
        <f t="shared" si="1"/>
        <v>45714.285714285717</v>
      </c>
      <c r="N6" s="26">
        <f t="shared" si="2"/>
        <v>43405</v>
      </c>
    </row>
    <row r="7" spans="2:14" s="13" customFormat="1" ht="12" x14ac:dyDescent="0.2">
      <c r="B7" s="14" t="s">
        <v>215</v>
      </c>
      <c r="C7" s="19" t="s">
        <v>136</v>
      </c>
      <c r="D7" s="18" t="s">
        <v>422</v>
      </c>
      <c r="E7" s="18" t="s">
        <v>423</v>
      </c>
      <c r="F7" s="18" t="s">
        <v>231</v>
      </c>
      <c r="G7" s="18" t="s">
        <v>114</v>
      </c>
      <c r="H7" s="20" t="s">
        <v>424</v>
      </c>
      <c r="I7" s="13">
        <f>LEFT(D7,LEN(D7)-4)+0</f>
        <v>76</v>
      </c>
      <c r="J7" s="13" t="str">
        <f>LEFT(RIGHT(D7,4),1)</f>
        <v>T</v>
      </c>
      <c r="K7" s="13">
        <f>IF(J7="T",I7,I7/1000)</f>
        <v>76</v>
      </c>
      <c r="L7" s="13">
        <f t="shared" si="0"/>
        <v>4000</v>
      </c>
      <c r="M7" s="11">
        <f t="shared" si="1"/>
        <v>68400</v>
      </c>
      <c r="N7" s="26">
        <f t="shared" si="2"/>
        <v>43221</v>
      </c>
    </row>
    <row r="8" spans="2:14" s="13" customFormat="1" ht="12" x14ac:dyDescent="0.2">
      <c r="B8" s="14" t="s">
        <v>214</v>
      </c>
      <c r="C8" s="19" t="s">
        <v>207</v>
      </c>
      <c r="D8" s="18" t="s">
        <v>419</v>
      </c>
      <c r="E8" s="18" t="s">
        <v>420</v>
      </c>
      <c r="F8" s="18" t="s">
        <v>254</v>
      </c>
      <c r="G8" s="18" t="s">
        <v>114</v>
      </c>
      <c r="H8" s="20" t="s">
        <v>421</v>
      </c>
      <c r="I8" s="13">
        <f>LEFT(D8,LEN(D8)-4)+0</f>
        <v>73</v>
      </c>
      <c r="J8" s="13" t="str">
        <f>LEFT(RIGHT(D8,4),1)</f>
        <v>T</v>
      </c>
      <c r="K8" s="13">
        <f>IF(J8="T",I8,I8/1000)</f>
        <v>73</v>
      </c>
      <c r="L8" s="13">
        <f t="shared" si="0"/>
        <v>2920</v>
      </c>
      <c r="M8" s="11">
        <f t="shared" si="1"/>
        <v>90000</v>
      </c>
      <c r="N8" s="26">
        <f t="shared" si="2"/>
        <v>43800</v>
      </c>
    </row>
    <row r="9" spans="2:14" s="13" customFormat="1" ht="12" x14ac:dyDescent="0.2">
      <c r="B9" s="14" t="s">
        <v>212</v>
      </c>
      <c r="C9" s="19" t="s">
        <v>213</v>
      </c>
      <c r="D9" s="18" t="s">
        <v>416</v>
      </c>
      <c r="E9" s="18" t="s">
        <v>417</v>
      </c>
      <c r="F9" s="18" t="s">
        <v>254</v>
      </c>
      <c r="G9" s="18" t="s">
        <v>114</v>
      </c>
      <c r="H9" s="20" t="s">
        <v>418</v>
      </c>
      <c r="I9" s="13">
        <f>LEFT(D9,LEN(D9)-4)+0</f>
        <v>70</v>
      </c>
      <c r="J9" s="13" t="str">
        <f>LEFT(RIGHT(D9,4),1)</f>
        <v>T</v>
      </c>
      <c r="K9" s="13">
        <f>IF(J9="T",I9,I9/1000)</f>
        <v>70</v>
      </c>
      <c r="L9" s="13">
        <f t="shared" si="0"/>
        <v>3220</v>
      </c>
      <c r="M9" s="11">
        <f t="shared" si="1"/>
        <v>78260.869565217392</v>
      </c>
      <c r="N9" s="26">
        <f t="shared" si="2"/>
        <v>43922</v>
      </c>
    </row>
    <row r="10" spans="2:14" s="13" customFormat="1" ht="12" x14ac:dyDescent="0.2">
      <c r="B10" s="14" t="s">
        <v>211</v>
      </c>
      <c r="C10" s="19" t="s">
        <v>146</v>
      </c>
      <c r="D10" s="18" t="s">
        <v>414</v>
      </c>
      <c r="E10" s="18" t="s">
        <v>400</v>
      </c>
      <c r="F10" s="18" t="s">
        <v>254</v>
      </c>
      <c r="G10" s="18" t="s">
        <v>114</v>
      </c>
      <c r="H10" s="20" t="s">
        <v>415</v>
      </c>
      <c r="I10" s="13">
        <f>LEFT(D10,LEN(D10)-4)+0</f>
        <v>68</v>
      </c>
      <c r="J10" s="13" t="str">
        <f>LEFT(RIGHT(D10,4),1)</f>
        <v>T</v>
      </c>
      <c r="K10" s="13">
        <f>IF(J10="T",I10,I10/1000)</f>
        <v>68</v>
      </c>
      <c r="L10" s="13">
        <f t="shared" si="0"/>
        <v>3360</v>
      </c>
      <c r="M10" s="11">
        <f t="shared" si="1"/>
        <v>72857.142857142855</v>
      </c>
      <c r="N10" s="26">
        <f t="shared" si="2"/>
        <v>43678</v>
      </c>
    </row>
    <row r="11" spans="2:14" s="13" customFormat="1" ht="12" x14ac:dyDescent="0.2">
      <c r="B11" s="14" t="s">
        <v>209</v>
      </c>
      <c r="C11" s="19" t="s">
        <v>200</v>
      </c>
      <c r="D11" s="18" t="s">
        <v>409</v>
      </c>
      <c r="E11" s="18" t="s">
        <v>410</v>
      </c>
      <c r="F11" s="18" t="s">
        <v>392</v>
      </c>
      <c r="G11" s="18" t="s">
        <v>114</v>
      </c>
      <c r="H11" s="20" t="s">
        <v>411</v>
      </c>
      <c r="I11" s="13">
        <f>LEFT(D11,LEN(D11)-4)+0</f>
        <v>64</v>
      </c>
      <c r="J11" s="13" t="str">
        <f>LEFT(RIGHT(D11,4),1)</f>
        <v>T</v>
      </c>
      <c r="K11" s="13">
        <f>IF(J11="T",I11,I11/1000)</f>
        <v>64</v>
      </c>
      <c r="L11" s="13">
        <f t="shared" si="0"/>
        <v>2880</v>
      </c>
      <c r="M11" s="11">
        <f t="shared" si="1"/>
        <v>80000</v>
      </c>
      <c r="N11" s="26">
        <f t="shared" si="2"/>
        <v>43770</v>
      </c>
    </row>
    <row r="12" spans="2:14" s="13" customFormat="1" ht="12" x14ac:dyDescent="0.2">
      <c r="B12" s="14" t="s">
        <v>210</v>
      </c>
      <c r="C12" s="19" t="s">
        <v>207</v>
      </c>
      <c r="D12" s="18" t="s">
        <v>409</v>
      </c>
      <c r="E12" s="18" t="s">
        <v>412</v>
      </c>
      <c r="F12" s="18" t="s">
        <v>254</v>
      </c>
      <c r="G12" s="18" t="s">
        <v>114</v>
      </c>
      <c r="H12" s="20" t="s">
        <v>413</v>
      </c>
      <c r="I12" s="13">
        <f>LEFT(D12,LEN(D12)-4)+0</f>
        <v>64</v>
      </c>
      <c r="J12" s="13" t="str">
        <f>LEFT(RIGHT(D12,4),1)</f>
        <v>T</v>
      </c>
      <c r="K12" s="13">
        <f>IF(J12="T",I12,I12/1000)</f>
        <v>64</v>
      </c>
      <c r="L12" s="13">
        <f t="shared" si="0"/>
        <v>3200</v>
      </c>
      <c r="M12" s="11">
        <f t="shared" si="1"/>
        <v>72000</v>
      </c>
      <c r="N12" s="26">
        <f t="shared" si="2"/>
        <v>43800</v>
      </c>
    </row>
    <row r="13" spans="2:14" s="13" customFormat="1" ht="12" x14ac:dyDescent="0.2">
      <c r="B13" s="14" t="s">
        <v>208</v>
      </c>
      <c r="C13" s="19" t="s">
        <v>177</v>
      </c>
      <c r="D13" s="18" t="s">
        <v>407</v>
      </c>
      <c r="E13" s="18" t="s">
        <v>384</v>
      </c>
      <c r="F13" s="18" t="s">
        <v>235</v>
      </c>
      <c r="G13" s="18" t="s">
        <v>114</v>
      </c>
      <c r="H13" s="20" t="s">
        <v>408</v>
      </c>
      <c r="I13" s="13">
        <f>LEFT(D13,LEN(D13)-4)+0</f>
        <v>60</v>
      </c>
      <c r="J13" s="13" t="str">
        <f>LEFT(RIGHT(D13,4),1)</f>
        <v>T</v>
      </c>
      <c r="K13" s="13">
        <f>IF(J13="T",I13,I13/1000)</f>
        <v>60</v>
      </c>
      <c r="L13" s="13">
        <f t="shared" si="0"/>
        <v>2800</v>
      </c>
      <c r="M13" s="11">
        <f t="shared" si="1"/>
        <v>77142.857142857145</v>
      </c>
      <c r="N13" s="26">
        <f t="shared" si="2"/>
        <v>43709</v>
      </c>
    </row>
    <row r="14" spans="2:14" s="13" customFormat="1" ht="12" x14ac:dyDescent="0.2">
      <c r="B14" s="14" t="s">
        <v>206</v>
      </c>
      <c r="C14" s="19" t="s">
        <v>207</v>
      </c>
      <c r="D14" s="18" t="s">
        <v>405</v>
      </c>
      <c r="E14" s="18" t="s">
        <v>366</v>
      </c>
      <c r="F14" s="18" t="s">
        <v>364</v>
      </c>
      <c r="G14" s="18" t="s">
        <v>114</v>
      </c>
      <c r="H14" s="20" t="s">
        <v>406</v>
      </c>
      <c r="I14" s="13">
        <f>LEFT(D14,LEN(D14)-4)+0</f>
        <v>58</v>
      </c>
      <c r="J14" s="13" t="str">
        <f>LEFT(RIGHT(D14,4),1)</f>
        <v>T</v>
      </c>
      <c r="K14" s="13">
        <f>IF(J14="T",I14,I14/1000)</f>
        <v>58</v>
      </c>
      <c r="L14" s="13">
        <f t="shared" si="0"/>
        <v>2500</v>
      </c>
      <c r="M14" s="11">
        <f t="shared" si="1"/>
        <v>83520</v>
      </c>
      <c r="N14" s="26">
        <f t="shared" si="2"/>
        <v>43800</v>
      </c>
    </row>
    <row r="15" spans="2:14" s="13" customFormat="1" ht="12" x14ac:dyDescent="0.2">
      <c r="B15" s="14" t="s">
        <v>205</v>
      </c>
      <c r="C15" s="19" t="s">
        <v>177</v>
      </c>
      <c r="D15" s="18" t="s">
        <v>402</v>
      </c>
      <c r="E15" s="18" t="s">
        <v>403</v>
      </c>
      <c r="F15" s="18" t="s">
        <v>254</v>
      </c>
      <c r="G15" s="18" t="s">
        <v>114</v>
      </c>
      <c r="H15" s="20" t="s">
        <v>404</v>
      </c>
      <c r="I15" s="13">
        <f>LEFT(D15,LEN(D15)-4)+0</f>
        <v>57</v>
      </c>
      <c r="J15" s="13" t="str">
        <f>LEFT(RIGHT(D15,4),1)</f>
        <v>T</v>
      </c>
      <c r="K15" s="13">
        <f>IF(J15="T",I15,I15/1000)</f>
        <v>57</v>
      </c>
      <c r="L15" s="13">
        <f t="shared" si="0"/>
        <v>3300</v>
      </c>
      <c r="M15" s="11">
        <f t="shared" si="1"/>
        <v>62181.818181818184</v>
      </c>
      <c r="N15" s="26">
        <f t="shared" si="2"/>
        <v>43709</v>
      </c>
    </row>
    <row r="16" spans="2:14" s="13" customFormat="1" ht="12" x14ac:dyDescent="0.2">
      <c r="B16" s="14" t="s">
        <v>202</v>
      </c>
      <c r="C16" s="19" t="s">
        <v>192</v>
      </c>
      <c r="D16" s="18" t="s">
        <v>397</v>
      </c>
      <c r="E16" s="18" t="s">
        <v>398</v>
      </c>
      <c r="F16" s="18" t="s">
        <v>359</v>
      </c>
      <c r="G16" s="18" t="s">
        <v>114</v>
      </c>
      <c r="H16" s="20" t="s">
        <v>399</v>
      </c>
      <c r="I16" s="13">
        <f>LEFT(D16,LEN(D16)-4)+0</f>
        <v>56</v>
      </c>
      <c r="J16" s="13" t="str">
        <f>LEFT(RIGHT(D16,4),1)</f>
        <v>T</v>
      </c>
      <c r="K16" s="13">
        <f>IF(J16="T",I16,I16/1000)</f>
        <v>56</v>
      </c>
      <c r="L16" s="13">
        <f t="shared" si="0"/>
        <v>2520</v>
      </c>
      <c r="M16" s="11">
        <f t="shared" si="1"/>
        <v>80000</v>
      </c>
      <c r="N16" s="26">
        <f t="shared" si="2"/>
        <v>43556</v>
      </c>
    </row>
    <row r="17" spans="2:14" s="13" customFormat="1" ht="12" x14ac:dyDescent="0.2">
      <c r="B17" s="14" t="s">
        <v>203</v>
      </c>
      <c r="C17" s="19" t="s">
        <v>204</v>
      </c>
      <c r="D17" s="18" t="s">
        <v>397</v>
      </c>
      <c r="E17" s="18" t="s">
        <v>400</v>
      </c>
      <c r="F17" s="18" t="s">
        <v>254</v>
      </c>
      <c r="G17" s="18" t="s">
        <v>114</v>
      </c>
      <c r="H17" s="20" t="s">
        <v>401</v>
      </c>
      <c r="I17" s="13">
        <f>LEFT(D17,LEN(D17)-4)+0</f>
        <v>56</v>
      </c>
      <c r="J17" s="13" t="str">
        <f>LEFT(RIGHT(D17,4),1)</f>
        <v>T</v>
      </c>
      <c r="K17" s="13">
        <f>IF(J17="T",I17,I17/1000)</f>
        <v>56</v>
      </c>
      <c r="L17" s="13">
        <f t="shared" si="0"/>
        <v>3360</v>
      </c>
      <c r="M17" s="11">
        <f t="shared" si="1"/>
        <v>60000</v>
      </c>
      <c r="N17" s="26">
        <f t="shared" si="2"/>
        <v>43617</v>
      </c>
    </row>
    <row r="18" spans="2:14" s="13" customFormat="1" ht="12" x14ac:dyDescent="0.2">
      <c r="B18" s="14" t="s">
        <v>201</v>
      </c>
      <c r="C18" s="19" t="s">
        <v>24</v>
      </c>
      <c r="D18" s="18" t="s">
        <v>394</v>
      </c>
      <c r="E18" s="18" t="s">
        <v>395</v>
      </c>
      <c r="F18" s="18" t="s">
        <v>254</v>
      </c>
      <c r="G18" s="18" t="s">
        <v>114</v>
      </c>
      <c r="H18" s="20" t="s">
        <v>396</v>
      </c>
      <c r="I18" s="13">
        <f>LEFT(D18,LEN(D18)-4)+0</f>
        <v>55</v>
      </c>
      <c r="J18" s="13" t="str">
        <f>LEFT(RIGHT(D18,4),1)</f>
        <v>T</v>
      </c>
      <c r="K18" s="13">
        <f>IF(J18="T",I18,I18/1000)</f>
        <v>55</v>
      </c>
      <c r="L18" s="13">
        <f t="shared" si="0"/>
        <v>3500</v>
      </c>
      <c r="M18" s="11">
        <f t="shared" si="1"/>
        <v>56571.428571428572</v>
      </c>
      <c r="N18" s="26">
        <f t="shared" si="2"/>
        <v>43344</v>
      </c>
    </row>
    <row r="19" spans="2:14" s="13" customFormat="1" ht="12" x14ac:dyDescent="0.2">
      <c r="B19" s="14" t="s">
        <v>197</v>
      </c>
      <c r="C19" s="19" t="s">
        <v>192</v>
      </c>
      <c r="D19" s="18" t="s">
        <v>386</v>
      </c>
      <c r="E19" s="18" t="s">
        <v>387</v>
      </c>
      <c r="F19" s="18" t="s">
        <v>359</v>
      </c>
      <c r="G19" s="18" t="s">
        <v>114</v>
      </c>
      <c r="H19" s="20" t="s">
        <v>388</v>
      </c>
      <c r="I19" s="13">
        <f>LEFT(D19,LEN(D19)-4)+0</f>
        <v>53</v>
      </c>
      <c r="J19" s="13" t="str">
        <f>LEFT(RIGHT(D19,4),1)</f>
        <v>T</v>
      </c>
      <c r="K19" s="13">
        <f>IF(J19="T",I19,I19/1000)</f>
        <v>53</v>
      </c>
      <c r="L19" s="13">
        <f t="shared" si="0"/>
        <v>2094</v>
      </c>
      <c r="M19" s="11">
        <f t="shared" si="1"/>
        <v>91117.478510028654</v>
      </c>
      <c r="N19" s="26">
        <f t="shared" si="2"/>
        <v>43556</v>
      </c>
    </row>
    <row r="20" spans="2:14" s="13" customFormat="1" ht="12" x14ac:dyDescent="0.2">
      <c r="B20" s="14" t="s">
        <v>198</v>
      </c>
      <c r="C20" s="19" t="s">
        <v>192</v>
      </c>
      <c r="D20" s="18" t="s">
        <v>386</v>
      </c>
      <c r="E20" s="18" t="s">
        <v>389</v>
      </c>
      <c r="F20" s="18" t="s">
        <v>359</v>
      </c>
      <c r="G20" s="18" t="s">
        <v>114</v>
      </c>
      <c r="H20" s="20" t="s">
        <v>390</v>
      </c>
      <c r="I20" s="13">
        <f>LEFT(D20,LEN(D20)-4)+0</f>
        <v>53</v>
      </c>
      <c r="J20" s="13" t="str">
        <f>LEFT(RIGHT(D20,4),1)</f>
        <v>T</v>
      </c>
      <c r="K20" s="13">
        <f>IF(J20="T",I20,I20/1000)</f>
        <v>53</v>
      </c>
      <c r="L20" s="13">
        <f t="shared" si="0"/>
        <v>2385</v>
      </c>
      <c r="M20" s="11">
        <f t="shared" si="1"/>
        <v>80000</v>
      </c>
      <c r="N20" s="26">
        <f t="shared" si="2"/>
        <v>43556</v>
      </c>
    </row>
    <row r="21" spans="2:14" s="13" customFormat="1" ht="12" x14ac:dyDescent="0.2">
      <c r="B21" s="14" t="s">
        <v>199</v>
      </c>
      <c r="C21" s="19" t="s">
        <v>200</v>
      </c>
      <c r="D21" s="18" t="s">
        <v>386</v>
      </c>
      <c r="E21" s="18" t="s">
        <v>391</v>
      </c>
      <c r="F21" s="18" t="s">
        <v>392</v>
      </c>
      <c r="G21" s="18" t="s">
        <v>114</v>
      </c>
      <c r="H21" s="20" t="s">
        <v>393</v>
      </c>
      <c r="I21" s="13">
        <f>LEFT(D21,LEN(D21)-4)+0</f>
        <v>53</v>
      </c>
      <c r="J21" s="13" t="str">
        <f>LEFT(RIGHT(D21,4),1)</f>
        <v>T</v>
      </c>
      <c r="K21" s="13">
        <f>IF(J21="T",I21,I21/1000)</f>
        <v>53</v>
      </c>
      <c r="L21" s="13">
        <f t="shared" si="0"/>
        <v>2915</v>
      </c>
      <c r="M21" s="11">
        <f t="shared" si="1"/>
        <v>65454.545454545456</v>
      </c>
      <c r="N21" s="26">
        <f t="shared" si="2"/>
        <v>43770</v>
      </c>
    </row>
    <row r="22" spans="2:14" s="13" customFormat="1" ht="12" x14ac:dyDescent="0.2">
      <c r="B22" s="14" t="s">
        <v>196</v>
      </c>
      <c r="C22" s="19" t="s">
        <v>181</v>
      </c>
      <c r="D22" s="18" t="s">
        <v>383</v>
      </c>
      <c r="E22" s="18" t="s">
        <v>384</v>
      </c>
      <c r="F22" s="18" t="s">
        <v>254</v>
      </c>
      <c r="G22" s="18" t="s">
        <v>114</v>
      </c>
      <c r="H22" s="20" t="s">
        <v>385</v>
      </c>
      <c r="I22" s="13">
        <f>LEFT(D22,LEN(D22)-4)+0</f>
        <v>52</v>
      </c>
      <c r="J22" s="13" t="str">
        <f>LEFT(RIGHT(D22,4),1)</f>
        <v>T</v>
      </c>
      <c r="K22" s="13">
        <f>IF(J22="T",I22,I22/1000)</f>
        <v>52</v>
      </c>
      <c r="L22" s="13">
        <f t="shared" si="0"/>
        <v>2800</v>
      </c>
      <c r="M22" s="11">
        <f t="shared" si="1"/>
        <v>66857.142857142855</v>
      </c>
      <c r="N22" s="26">
        <f t="shared" si="2"/>
        <v>43586</v>
      </c>
    </row>
    <row r="23" spans="2:14" s="13" customFormat="1" ht="12" x14ac:dyDescent="0.2">
      <c r="B23" s="14" t="s">
        <v>191</v>
      </c>
      <c r="C23" s="19" t="s">
        <v>192</v>
      </c>
      <c r="D23" s="18" t="s">
        <v>375</v>
      </c>
      <c r="E23" s="18" t="s">
        <v>376</v>
      </c>
      <c r="F23" s="18" t="s">
        <v>359</v>
      </c>
      <c r="G23" s="18" t="s">
        <v>114</v>
      </c>
      <c r="H23" s="20" t="s">
        <v>377</v>
      </c>
      <c r="I23" s="13">
        <f>LEFT(D23,LEN(D23)-4)+0</f>
        <v>50</v>
      </c>
      <c r="J23" s="13" t="str">
        <f>LEFT(RIGHT(D23,4),1)</f>
        <v>T</v>
      </c>
      <c r="K23" s="13">
        <f>IF(J23="T",I23,I23/1000)</f>
        <v>50</v>
      </c>
      <c r="L23" s="13">
        <f t="shared" si="0"/>
        <v>1975</v>
      </c>
      <c r="M23" s="11">
        <f t="shared" si="1"/>
        <v>91139.240506329108</v>
      </c>
      <c r="N23" s="26">
        <f t="shared" si="2"/>
        <v>43556</v>
      </c>
    </row>
    <row r="24" spans="2:14" s="13" customFormat="1" ht="12" x14ac:dyDescent="0.2">
      <c r="B24" s="14" t="s">
        <v>193</v>
      </c>
      <c r="C24" s="19" t="s">
        <v>177</v>
      </c>
      <c r="D24" s="18" t="s">
        <v>375</v>
      </c>
      <c r="E24" s="18" t="s">
        <v>366</v>
      </c>
      <c r="F24" s="18" t="s">
        <v>254</v>
      </c>
      <c r="G24" s="18" t="s">
        <v>114</v>
      </c>
      <c r="H24" s="20" t="s">
        <v>378</v>
      </c>
      <c r="I24" s="13">
        <f>LEFT(D24,LEN(D24)-4)+0</f>
        <v>50</v>
      </c>
      <c r="J24" s="13" t="str">
        <f>LEFT(RIGHT(D24,4),1)</f>
        <v>T</v>
      </c>
      <c r="K24" s="13">
        <f>IF(J24="T",I24,I24/1000)</f>
        <v>50</v>
      </c>
      <c r="L24" s="13">
        <f t="shared" si="0"/>
        <v>2500</v>
      </c>
      <c r="M24" s="11">
        <f t="shared" si="1"/>
        <v>72000</v>
      </c>
      <c r="N24" s="26">
        <f t="shared" si="2"/>
        <v>43709</v>
      </c>
    </row>
    <row r="25" spans="2:14" s="13" customFormat="1" ht="12" x14ac:dyDescent="0.2">
      <c r="B25" s="14" t="s">
        <v>194</v>
      </c>
      <c r="C25" s="19" t="s">
        <v>12</v>
      </c>
      <c r="D25" s="18" t="s">
        <v>375</v>
      </c>
      <c r="E25" s="18" t="s">
        <v>379</v>
      </c>
      <c r="F25" s="21" t="s">
        <v>30</v>
      </c>
      <c r="G25" s="18" t="s">
        <v>114</v>
      </c>
      <c r="H25" s="20" t="s">
        <v>380</v>
      </c>
      <c r="I25" s="13">
        <f>LEFT(D25,LEN(D25)-4)+0</f>
        <v>50</v>
      </c>
      <c r="J25" s="13" t="str">
        <f>LEFT(RIGHT(D25,4),1)</f>
        <v>T</v>
      </c>
      <c r="K25" s="13">
        <f>IF(J25="T",I25,I25/1000)</f>
        <v>50</v>
      </c>
      <c r="L25" s="13">
        <f t="shared" si="0"/>
        <v>3100</v>
      </c>
      <c r="M25" s="11">
        <f t="shared" si="1"/>
        <v>58064.516129032258</v>
      </c>
      <c r="N25" s="26">
        <f t="shared" si="2"/>
        <v>43647</v>
      </c>
    </row>
    <row r="26" spans="2:14" s="13" customFormat="1" ht="12" x14ac:dyDescent="0.2">
      <c r="B26" s="14" t="s">
        <v>195</v>
      </c>
      <c r="C26" s="19" t="s">
        <v>177</v>
      </c>
      <c r="D26" s="18" t="s">
        <v>375</v>
      </c>
      <c r="E26" s="18" t="s">
        <v>381</v>
      </c>
      <c r="F26" s="18" t="s">
        <v>254</v>
      </c>
      <c r="G26" s="18" t="s">
        <v>114</v>
      </c>
      <c r="H26" s="20" t="s">
        <v>382</v>
      </c>
      <c r="I26" s="13">
        <f>LEFT(D26,LEN(D26)-4)+0</f>
        <v>50</v>
      </c>
      <c r="J26" s="13" t="str">
        <f>LEFT(RIGHT(D26,4),1)</f>
        <v>T</v>
      </c>
      <c r="K26" s="13">
        <f>IF(J26="T",I26,I26/1000)</f>
        <v>50</v>
      </c>
      <c r="L26" s="13">
        <f t="shared" si="0"/>
        <v>3250</v>
      </c>
      <c r="M26" s="11">
        <f t="shared" si="1"/>
        <v>55384.615384615383</v>
      </c>
      <c r="N26" s="26">
        <f t="shared" si="2"/>
        <v>43709</v>
      </c>
    </row>
    <row r="27" spans="2:14" s="13" customFormat="1" ht="12" x14ac:dyDescent="0.2">
      <c r="B27" s="14" t="s">
        <v>188</v>
      </c>
      <c r="C27" s="19" t="s">
        <v>35</v>
      </c>
      <c r="D27" s="18" t="s">
        <v>370</v>
      </c>
      <c r="E27" s="18" t="s">
        <v>371</v>
      </c>
      <c r="F27" s="18" t="s">
        <v>359</v>
      </c>
      <c r="G27" s="18" t="s">
        <v>114</v>
      </c>
      <c r="H27" s="20" t="s">
        <v>372</v>
      </c>
      <c r="I27" s="13">
        <f>LEFT(D27,LEN(D27)-4)+0</f>
        <v>49</v>
      </c>
      <c r="J27" s="13" t="str">
        <f>LEFT(RIGHT(D27,4),1)</f>
        <v>T</v>
      </c>
      <c r="K27" s="13">
        <f>IF(J27="T",I27,I27/1000)</f>
        <v>49</v>
      </c>
      <c r="L27" s="13">
        <f t="shared" si="0"/>
        <v>5400</v>
      </c>
      <c r="M27" s="11">
        <f t="shared" si="1"/>
        <v>32666.666666666664</v>
      </c>
      <c r="N27" s="26">
        <f t="shared" si="2"/>
        <v>43101</v>
      </c>
    </row>
    <row r="28" spans="2:14" s="13" customFormat="1" ht="12" x14ac:dyDescent="0.2">
      <c r="B28" s="14" t="s">
        <v>189</v>
      </c>
      <c r="C28" s="19" t="s">
        <v>190</v>
      </c>
      <c r="D28" s="18" t="s">
        <v>370</v>
      </c>
      <c r="E28" s="18" t="s">
        <v>373</v>
      </c>
      <c r="F28" s="18" t="s">
        <v>261</v>
      </c>
      <c r="G28" s="18" t="s">
        <v>114</v>
      </c>
      <c r="H28" s="20" t="s">
        <v>374</v>
      </c>
      <c r="I28" s="13">
        <f>LEFT(D28,LEN(D28)-4)+0</f>
        <v>49</v>
      </c>
      <c r="J28" s="13" t="str">
        <f>LEFT(RIGHT(D28,4),1)</f>
        <v>T</v>
      </c>
      <c r="K28" s="13">
        <f>IF(J28="T",I28,I28/1000)</f>
        <v>49</v>
      </c>
      <c r="L28" s="13">
        <f t="shared" si="0"/>
        <v>6400</v>
      </c>
      <c r="M28" s="11">
        <f t="shared" si="1"/>
        <v>27562.5</v>
      </c>
      <c r="N28" s="26">
        <f t="shared" si="2"/>
        <v>43070</v>
      </c>
    </row>
    <row r="29" spans="2:14" s="13" customFormat="1" ht="12" x14ac:dyDescent="0.2">
      <c r="B29" s="14" t="s">
        <v>187</v>
      </c>
      <c r="C29" s="19" t="s">
        <v>12</v>
      </c>
      <c r="D29" s="18" t="s">
        <v>368</v>
      </c>
      <c r="E29" s="18" t="s">
        <v>331</v>
      </c>
      <c r="F29" s="18" t="s">
        <v>235</v>
      </c>
      <c r="G29" s="18" t="s">
        <v>114</v>
      </c>
      <c r="H29" s="20" t="s">
        <v>369</v>
      </c>
      <c r="I29" s="13">
        <f>LEFT(D29,LEN(D29)-4)+0</f>
        <v>46</v>
      </c>
      <c r="J29" s="13" t="str">
        <f>LEFT(RIGHT(D29,4),1)</f>
        <v>T</v>
      </c>
      <c r="K29" s="13">
        <f>IF(J29="T",I29,I29/1000)</f>
        <v>46</v>
      </c>
      <c r="L29" s="13">
        <f t="shared" si="0"/>
        <v>2100</v>
      </c>
      <c r="M29" s="11">
        <f t="shared" si="1"/>
        <v>78857.142857142855</v>
      </c>
      <c r="N29" s="26">
        <f t="shared" si="2"/>
        <v>43647</v>
      </c>
    </row>
    <row r="30" spans="2:14" s="13" customFormat="1" ht="12" x14ac:dyDescent="0.2">
      <c r="B30" s="14" t="s">
        <v>184</v>
      </c>
      <c r="C30" s="19" t="s">
        <v>26</v>
      </c>
      <c r="D30" s="18" t="s">
        <v>362</v>
      </c>
      <c r="E30" s="18" t="s">
        <v>328</v>
      </c>
      <c r="F30" s="18" t="s">
        <v>254</v>
      </c>
      <c r="G30" s="18" t="s">
        <v>114</v>
      </c>
      <c r="H30" s="20" t="s">
        <v>363</v>
      </c>
      <c r="I30" s="13">
        <f>LEFT(D30,LEN(D30)-4)+0</f>
        <v>44</v>
      </c>
      <c r="J30" s="13" t="str">
        <f>LEFT(RIGHT(D30,4),1)</f>
        <v>T</v>
      </c>
      <c r="K30" s="13">
        <f>IF(J30="T",I30,I30/1000)</f>
        <v>44</v>
      </c>
      <c r="L30" s="13">
        <f t="shared" si="0"/>
        <v>1980</v>
      </c>
      <c r="M30" s="11">
        <f t="shared" si="1"/>
        <v>80000</v>
      </c>
      <c r="N30" s="26">
        <f t="shared" si="2"/>
        <v>43374</v>
      </c>
    </row>
    <row r="31" spans="2:14" s="13" customFormat="1" ht="12" x14ac:dyDescent="0.2">
      <c r="B31" s="14" t="s">
        <v>185</v>
      </c>
      <c r="C31" s="19" t="s">
        <v>26</v>
      </c>
      <c r="D31" s="18" t="s">
        <v>362</v>
      </c>
      <c r="E31" s="18" t="s">
        <v>331</v>
      </c>
      <c r="F31" s="18" t="s">
        <v>364</v>
      </c>
      <c r="G31" s="18" t="s">
        <v>114</v>
      </c>
      <c r="H31" s="20" t="s">
        <v>365</v>
      </c>
      <c r="I31" s="13">
        <f>LEFT(D31,LEN(D31)-4)+0</f>
        <v>44</v>
      </c>
      <c r="J31" s="13" t="str">
        <f>LEFT(RIGHT(D31,4),1)</f>
        <v>T</v>
      </c>
      <c r="K31" s="13">
        <f>IF(J31="T",I31,I31/1000)</f>
        <v>44</v>
      </c>
      <c r="L31" s="13">
        <f t="shared" si="0"/>
        <v>2100</v>
      </c>
      <c r="M31" s="11">
        <f t="shared" si="1"/>
        <v>75428.57142857142</v>
      </c>
      <c r="N31" s="26">
        <f t="shared" si="2"/>
        <v>43374</v>
      </c>
    </row>
    <row r="32" spans="2:14" s="13" customFormat="1" ht="12" x14ac:dyDescent="0.2">
      <c r="B32" s="14" t="s">
        <v>186</v>
      </c>
      <c r="C32" s="19" t="s">
        <v>177</v>
      </c>
      <c r="D32" s="18" t="s">
        <v>362</v>
      </c>
      <c r="E32" s="18" t="s">
        <v>366</v>
      </c>
      <c r="F32" s="18" t="s">
        <v>254</v>
      </c>
      <c r="G32" s="18" t="s">
        <v>114</v>
      </c>
      <c r="H32" s="20" t="s">
        <v>367</v>
      </c>
      <c r="I32" s="13">
        <f>LEFT(D32,LEN(D32)-4)+0</f>
        <v>44</v>
      </c>
      <c r="J32" s="13" t="str">
        <f>LEFT(RIGHT(D32,4),1)</f>
        <v>T</v>
      </c>
      <c r="K32" s="13">
        <f>IF(J32="T",I32,I32/1000)</f>
        <v>44</v>
      </c>
      <c r="L32" s="13">
        <f t="shared" si="0"/>
        <v>2500</v>
      </c>
      <c r="M32" s="11">
        <f t="shared" si="1"/>
        <v>63360</v>
      </c>
      <c r="N32" s="26">
        <f t="shared" si="2"/>
        <v>43709</v>
      </c>
    </row>
    <row r="33" spans="2:14" s="13" customFormat="1" ht="12" x14ac:dyDescent="0.2">
      <c r="B33" s="14" t="s">
        <v>182</v>
      </c>
      <c r="C33" s="19" t="s">
        <v>183</v>
      </c>
      <c r="D33" s="18" t="s">
        <v>360</v>
      </c>
      <c r="E33" s="18" t="s">
        <v>331</v>
      </c>
      <c r="F33" s="18" t="s">
        <v>254</v>
      </c>
      <c r="G33" s="18" t="s">
        <v>114</v>
      </c>
      <c r="H33" s="20" t="s">
        <v>361</v>
      </c>
      <c r="I33" s="13">
        <f>LEFT(D33,LEN(D33)-4)+0</f>
        <v>43</v>
      </c>
      <c r="J33" s="13" t="str">
        <f>LEFT(RIGHT(D33,4),1)</f>
        <v>T</v>
      </c>
      <c r="K33" s="13">
        <f>IF(J33="T",I33,I33/1000)</f>
        <v>43</v>
      </c>
      <c r="L33" s="13">
        <f t="shared" si="0"/>
        <v>2100</v>
      </c>
      <c r="M33" s="11">
        <f t="shared" si="1"/>
        <v>73714.28571428571</v>
      </c>
      <c r="N33" s="26">
        <f t="shared" si="2"/>
        <v>43466</v>
      </c>
    </row>
    <row r="34" spans="2:14" s="13" customFormat="1" ht="12" x14ac:dyDescent="0.2">
      <c r="B34" s="14" t="s">
        <v>180</v>
      </c>
      <c r="C34" s="19" t="s">
        <v>181</v>
      </c>
      <c r="D34" s="18" t="s">
        <v>358</v>
      </c>
      <c r="E34" s="18" t="s">
        <v>340</v>
      </c>
      <c r="F34" s="18" t="s">
        <v>359</v>
      </c>
      <c r="G34" s="18" t="s">
        <v>114</v>
      </c>
      <c r="H34" s="20" t="s">
        <v>352</v>
      </c>
      <c r="I34" s="13">
        <f>LEFT(D34,LEN(D34)-4)+0</f>
        <v>40</v>
      </c>
      <c r="J34" s="13" t="str">
        <f>LEFT(RIGHT(D34,4),1)</f>
        <v>T</v>
      </c>
      <c r="K34" s="13">
        <f>IF(J34="T",I34,I34/1000)</f>
        <v>40</v>
      </c>
      <c r="L34" s="13">
        <f t="shared" si="0"/>
        <v>2200</v>
      </c>
      <c r="M34" s="11">
        <f t="shared" si="1"/>
        <v>65454.545454545449</v>
      </c>
      <c r="N34" s="26">
        <f t="shared" si="2"/>
        <v>43586</v>
      </c>
    </row>
    <row r="35" spans="2:14" s="13" customFormat="1" ht="12" x14ac:dyDescent="0.2">
      <c r="B35" s="14" t="s">
        <v>178</v>
      </c>
      <c r="C35" s="19" t="s">
        <v>179</v>
      </c>
      <c r="D35" s="18" t="s">
        <v>355</v>
      </c>
      <c r="E35" s="18" t="s">
        <v>356</v>
      </c>
      <c r="F35" s="18" t="s">
        <v>254</v>
      </c>
      <c r="G35" s="18" t="s">
        <v>114</v>
      </c>
      <c r="H35" s="20" t="s">
        <v>357</v>
      </c>
      <c r="I35" s="13">
        <f>LEFT(D35,LEN(D35)-4)+0</f>
        <v>39</v>
      </c>
      <c r="J35" s="13" t="str">
        <f>LEFT(RIGHT(D35,4),1)</f>
        <v>T</v>
      </c>
      <c r="K35" s="13">
        <f>IF(J35="T",I35,I35/1000)</f>
        <v>39</v>
      </c>
      <c r="L35" s="13">
        <f t="shared" si="0"/>
        <v>2150</v>
      </c>
      <c r="M35" s="11">
        <f t="shared" si="1"/>
        <v>65302.325581395351</v>
      </c>
      <c r="N35" s="26">
        <f t="shared" si="2"/>
        <v>43525</v>
      </c>
    </row>
    <row r="36" spans="2:14" s="13" customFormat="1" ht="12" x14ac:dyDescent="0.2">
      <c r="B36" s="14" t="s">
        <v>175</v>
      </c>
      <c r="C36" s="19" t="s">
        <v>26</v>
      </c>
      <c r="D36" s="18" t="s">
        <v>350</v>
      </c>
      <c r="E36" s="18" t="s">
        <v>351</v>
      </c>
      <c r="F36" s="18" t="s">
        <v>254</v>
      </c>
      <c r="G36" s="18" t="s">
        <v>114</v>
      </c>
      <c r="H36" s="20" t="s">
        <v>352</v>
      </c>
      <c r="I36" s="13">
        <f>LEFT(D36,LEN(D36)-4)+0</f>
        <v>37</v>
      </c>
      <c r="J36" s="13" t="str">
        <f>LEFT(RIGHT(D36,4),1)</f>
        <v>T</v>
      </c>
      <c r="K36" s="13">
        <f>IF(J36="T",I36,I36/1000)</f>
        <v>37</v>
      </c>
      <c r="L36" s="13">
        <f t="shared" si="0"/>
        <v>2035</v>
      </c>
      <c r="M36" s="11">
        <f t="shared" si="1"/>
        <v>65454.545454545449</v>
      </c>
      <c r="N36" s="26">
        <f t="shared" si="2"/>
        <v>43374</v>
      </c>
    </row>
    <row r="37" spans="2:14" s="13" customFormat="1" ht="12" x14ac:dyDescent="0.2">
      <c r="B37" s="14" t="s">
        <v>176</v>
      </c>
      <c r="C37" s="19" t="s">
        <v>177</v>
      </c>
      <c r="D37" s="18" t="s">
        <v>350</v>
      </c>
      <c r="E37" s="18" t="s">
        <v>353</v>
      </c>
      <c r="F37" s="18" t="s">
        <v>270</v>
      </c>
      <c r="G37" s="18" t="s">
        <v>114</v>
      </c>
      <c r="H37" s="20" t="s">
        <v>354</v>
      </c>
      <c r="I37" s="13">
        <f>LEFT(D37,LEN(D37)-4)+0</f>
        <v>37</v>
      </c>
      <c r="J37" s="13" t="str">
        <f>LEFT(RIGHT(D37,4),1)</f>
        <v>T</v>
      </c>
      <c r="K37" s="13">
        <f>IF(J37="T",I37,I37/1000)</f>
        <v>37</v>
      </c>
      <c r="L37" s="13">
        <f t="shared" si="0"/>
        <v>2380</v>
      </c>
      <c r="M37" s="11">
        <f t="shared" si="1"/>
        <v>55966.386554621851</v>
      </c>
      <c r="N37" s="26">
        <f t="shared" si="2"/>
        <v>43709</v>
      </c>
    </row>
    <row r="38" spans="2:14" s="13" customFormat="1" ht="12" x14ac:dyDescent="0.2">
      <c r="B38" s="14" t="s">
        <v>174</v>
      </c>
      <c r="C38" s="19" t="s">
        <v>35</v>
      </c>
      <c r="D38" s="18" t="s">
        <v>347</v>
      </c>
      <c r="E38" s="18" t="s">
        <v>348</v>
      </c>
      <c r="F38" s="18" t="s">
        <v>246</v>
      </c>
      <c r="G38" s="18" t="s">
        <v>114</v>
      </c>
      <c r="H38" s="20" t="s">
        <v>349</v>
      </c>
      <c r="I38" s="13">
        <f>LEFT(D38,LEN(D38)-4)+0</f>
        <v>34</v>
      </c>
      <c r="J38" s="13" t="str">
        <f>LEFT(RIGHT(D38,4),1)</f>
        <v>T</v>
      </c>
      <c r="K38" s="13">
        <f>IF(J38="T",I38,I38/1000)</f>
        <v>34</v>
      </c>
      <c r="L38" s="13">
        <f t="shared" si="0"/>
        <v>5000</v>
      </c>
      <c r="M38" s="11">
        <f t="shared" si="1"/>
        <v>24480</v>
      </c>
      <c r="N38" s="26">
        <f t="shared" si="2"/>
        <v>43101</v>
      </c>
    </row>
    <row r="39" spans="2:14" s="13" customFormat="1" ht="12" x14ac:dyDescent="0.2">
      <c r="B39" s="14" t="s">
        <v>172</v>
      </c>
      <c r="C39" s="19" t="s">
        <v>24</v>
      </c>
      <c r="D39" s="18" t="s">
        <v>342</v>
      </c>
      <c r="E39" s="18" t="s">
        <v>343</v>
      </c>
      <c r="F39" s="18" t="s">
        <v>254</v>
      </c>
      <c r="G39" s="18" t="s">
        <v>114</v>
      </c>
      <c r="H39" s="20" t="s">
        <v>344</v>
      </c>
      <c r="I39" s="13">
        <f>LEFT(D39,LEN(D39)-4)+0</f>
        <v>33</v>
      </c>
      <c r="J39" s="13" t="str">
        <f>LEFT(RIGHT(D39,4),1)</f>
        <v>T</v>
      </c>
      <c r="K39" s="13">
        <f>IF(J39="T",I39,I39/1000)</f>
        <v>33</v>
      </c>
      <c r="L39" s="13">
        <f t="shared" si="0"/>
        <v>2145</v>
      </c>
      <c r="M39" s="11">
        <f t="shared" si="1"/>
        <v>55384.615384615383</v>
      </c>
      <c r="N39" s="26">
        <f t="shared" si="2"/>
        <v>43344</v>
      </c>
    </row>
    <row r="40" spans="2:14" s="13" customFormat="1" ht="12" x14ac:dyDescent="0.2">
      <c r="B40" s="14" t="s">
        <v>173</v>
      </c>
      <c r="C40" s="19" t="s">
        <v>14</v>
      </c>
      <c r="D40" s="18" t="s">
        <v>342</v>
      </c>
      <c r="E40" s="18" t="s">
        <v>345</v>
      </c>
      <c r="F40" s="18" t="s">
        <v>254</v>
      </c>
      <c r="G40" s="18" t="s">
        <v>114</v>
      </c>
      <c r="H40" s="20" t="s">
        <v>346</v>
      </c>
      <c r="I40" s="13">
        <f>LEFT(D40,LEN(D40)-4)+0</f>
        <v>33</v>
      </c>
      <c r="J40" s="13" t="str">
        <f>LEFT(RIGHT(D40,4),1)</f>
        <v>T</v>
      </c>
      <c r="K40" s="13">
        <f>IF(J40="T",I40,I40/1000)</f>
        <v>33</v>
      </c>
      <c r="L40" s="13">
        <f t="shared" si="0"/>
        <v>3417</v>
      </c>
      <c r="M40" s="11">
        <f t="shared" si="1"/>
        <v>34767.339771729588</v>
      </c>
      <c r="N40" s="26">
        <f t="shared" si="2"/>
        <v>43405</v>
      </c>
    </row>
    <row r="41" spans="2:14" s="13" customFormat="1" ht="12" x14ac:dyDescent="0.2">
      <c r="B41" s="14" t="s">
        <v>171</v>
      </c>
      <c r="C41" s="19" t="s">
        <v>24</v>
      </c>
      <c r="D41" s="18" t="s">
        <v>339</v>
      </c>
      <c r="E41" s="18" t="s">
        <v>340</v>
      </c>
      <c r="F41" s="18" t="s">
        <v>246</v>
      </c>
      <c r="G41" s="18" t="s">
        <v>114</v>
      </c>
      <c r="H41" s="20" t="s">
        <v>341</v>
      </c>
      <c r="I41" s="13">
        <f>LEFT(D41,LEN(D41)-4)+0</f>
        <v>32</v>
      </c>
      <c r="J41" s="13" t="str">
        <f>LEFT(RIGHT(D41,4),1)</f>
        <v>T</v>
      </c>
      <c r="K41" s="13">
        <f>IF(J41="T",I41,I41/1000)</f>
        <v>32</v>
      </c>
      <c r="L41" s="13">
        <f t="shared" si="0"/>
        <v>2200</v>
      </c>
      <c r="M41" s="11">
        <f t="shared" si="1"/>
        <v>52363.63636363636</v>
      </c>
      <c r="N41" s="26">
        <f t="shared" si="2"/>
        <v>43344</v>
      </c>
    </row>
    <row r="42" spans="2:14" s="13" customFormat="1" ht="12" x14ac:dyDescent="0.2">
      <c r="B42" s="14" t="s">
        <v>170</v>
      </c>
      <c r="C42" s="19" t="s">
        <v>146</v>
      </c>
      <c r="D42" s="18" t="s">
        <v>336</v>
      </c>
      <c r="E42" s="18" t="s">
        <v>337</v>
      </c>
      <c r="F42" s="18" t="s">
        <v>254</v>
      </c>
      <c r="G42" s="18" t="s">
        <v>114</v>
      </c>
      <c r="H42" s="20" t="s">
        <v>338</v>
      </c>
      <c r="I42" s="13">
        <f>LEFT(D42,LEN(D42)-4)+0</f>
        <v>31</v>
      </c>
      <c r="J42" s="13" t="str">
        <f>LEFT(RIGHT(D42,4),1)</f>
        <v>T</v>
      </c>
      <c r="K42" s="13">
        <f>IF(J42="T",I42,I42/1000)</f>
        <v>31</v>
      </c>
      <c r="L42" s="13">
        <f t="shared" si="0"/>
        <v>1860</v>
      </c>
      <c r="M42" s="11">
        <f t="shared" si="1"/>
        <v>60000</v>
      </c>
      <c r="N42" s="26">
        <f t="shared" si="2"/>
        <v>43678</v>
      </c>
    </row>
    <row r="43" spans="2:14" s="13" customFormat="1" ht="12" x14ac:dyDescent="0.2">
      <c r="B43" s="14" t="s">
        <v>169</v>
      </c>
      <c r="C43" s="19" t="s">
        <v>26</v>
      </c>
      <c r="D43" s="18" t="s">
        <v>334</v>
      </c>
      <c r="E43" s="18" t="s">
        <v>327</v>
      </c>
      <c r="F43" s="18" t="s">
        <v>254</v>
      </c>
      <c r="G43" s="18" t="s">
        <v>114</v>
      </c>
      <c r="H43" s="20" t="s">
        <v>335</v>
      </c>
      <c r="I43" s="13">
        <f>LEFT(D43,LEN(D43)-4)+0</f>
        <v>30</v>
      </c>
      <c r="J43" s="13" t="str">
        <f>LEFT(RIGHT(D43,4),1)</f>
        <v>T</v>
      </c>
      <c r="K43" s="13">
        <f>IF(J43="T",I43,I43/1000)</f>
        <v>30</v>
      </c>
      <c r="L43" s="13">
        <f t="shared" si="0"/>
        <v>1950</v>
      </c>
      <c r="M43" s="11">
        <f t="shared" si="1"/>
        <v>55384.615384615383</v>
      </c>
      <c r="N43" s="26">
        <f t="shared" si="2"/>
        <v>43374</v>
      </c>
    </row>
    <row r="44" spans="2:14" s="13" customFormat="1" ht="12" x14ac:dyDescent="0.2">
      <c r="B44" s="14" t="s">
        <v>168</v>
      </c>
      <c r="C44" s="19" t="s">
        <v>16</v>
      </c>
      <c r="D44" s="18" t="s">
        <v>333</v>
      </c>
      <c r="E44" s="18" t="s">
        <v>331</v>
      </c>
      <c r="F44" s="18" t="s">
        <v>270</v>
      </c>
      <c r="G44" s="18" t="s">
        <v>114</v>
      </c>
      <c r="H44" s="20" t="s">
        <v>296</v>
      </c>
      <c r="I44" s="13">
        <f>LEFT(D44,LEN(D44)-4)+0</f>
        <v>28</v>
      </c>
      <c r="J44" s="13" t="str">
        <f>LEFT(RIGHT(D44,4),1)</f>
        <v>T</v>
      </c>
      <c r="K44" s="13">
        <f>IF(J44="T",I44,I44/1000)</f>
        <v>28</v>
      </c>
      <c r="L44" s="13">
        <f t="shared" si="0"/>
        <v>2100</v>
      </c>
      <c r="M44" s="11">
        <f t="shared" si="1"/>
        <v>48000</v>
      </c>
      <c r="N44" s="26">
        <f t="shared" si="2"/>
        <v>43435</v>
      </c>
    </row>
    <row r="45" spans="2:14" s="13" customFormat="1" ht="12" x14ac:dyDescent="0.2">
      <c r="B45" s="14" t="s">
        <v>167</v>
      </c>
      <c r="C45" s="19" t="s">
        <v>21</v>
      </c>
      <c r="D45" s="18" t="s">
        <v>330</v>
      </c>
      <c r="E45" s="18" t="s">
        <v>331</v>
      </c>
      <c r="F45" s="18" t="s">
        <v>254</v>
      </c>
      <c r="G45" s="18" t="s">
        <v>114</v>
      </c>
      <c r="H45" s="20" t="s">
        <v>332</v>
      </c>
      <c r="I45" s="13">
        <f>LEFT(D45,LEN(D45)-4)+0</f>
        <v>24.5</v>
      </c>
      <c r="J45" s="13" t="str">
        <f>LEFT(RIGHT(D45,4),1)</f>
        <v>T</v>
      </c>
      <c r="K45" s="13">
        <f>IF(J45="T",I45,I45/1000)</f>
        <v>24.5</v>
      </c>
      <c r="L45" s="13">
        <f t="shared" si="0"/>
        <v>2100</v>
      </c>
      <c r="M45" s="11">
        <f t="shared" si="1"/>
        <v>42000</v>
      </c>
      <c r="N45" s="26">
        <f t="shared" si="2"/>
        <v>43313</v>
      </c>
    </row>
    <row r="46" spans="2:14" s="13" customFormat="1" ht="12" x14ac:dyDescent="0.2">
      <c r="B46" s="14" t="s">
        <v>165</v>
      </c>
      <c r="C46" s="19" t="s">
        <v>26</v>
      </c>
      <c r="D46" s="18" t="s">
        <v>326</v>
      </c>
      <c r="E46" s="18" t="s">
        <v>327</v>
      </c>
      <c r="F46" s="18" t="s">
        <v>270</v>
      </c>
      <c r="G46" s="18" t="s">
        <v>114</v>
      </c>
      <c r="H46" s="20" t="s">
        <v>312</v>
      </c>
      <c r="I46" s="13">
        <f>LEFT(D46,LEN(D46)-4)+0</f>
        <v>24</v>
      </c>
      <c r="J46" s="13" t="str">
        <f>LEFT(RIGHT(D46,4),1)</f>
        <v>T</v>
      </c>
      <c r="K46" s="13">
        <f>IF(J46="T",I46,I46/1000)</f>
        <v>24</v>
      </c>
      <c r="L46" s="13">
        <f t="shared" si="0"/>
        <v>1950</v>
      </c>
      <c r="M46" s="11">
        <f t="shared" si="1"/>
        <v>44307.692307692312</v>
      </c>
      <c r="N46" s="26">
        <f t="shared" si="2"/>
        <v>43374</v>
      </c>
    </row>
    <row r="47" spans="2:14" s="13" customFormat="1" ht="12" x14ac:dyDescent="0.2">
      <c r="B47" s="14" t="s">
        <v>166</v>
      </c>
      <c r="C47" s="19" t="s">
        <v>21</v>
      </c>
      <c r="D47" s="18" t="s">
        <v>326</v>
      </c>
      <c r="E47" s="18" t="s">
        <v>328</v>
      </c>
      <c r="F47" s="18" t="s">
        <v>246</v>
      </c>
      <c r="G47" s="18" t="s">
        <v>114</v>
      </c>
      <c r="H47" s="20" t="s">
        <v>329</v>
      </c>
      <c r="I47" s="13">
        <f>LEFT(D47,LEN(D47)-4)+0</f>
        <v>24</v>
      </c>
      <c r="J47" s="13" t="str">
        <f>LEFT(RIGHT(D47,4),1)</f>
        <v>T</v>
      </c>
      <c r="K47" s="13">
        <f>IF(J47="T",I47,I47/1000)</f>
        <v>24</v>
      </c>
      <c r="L47" s="13">
        <f t="shared" si="0"/>
        <v>1980</v>
      </c>
      <c r="M47" s="11">
        <f t="shared" si="1"/>
        <v>43636.36363636364</v>
      </c>
      <c r="N47" s="26">
        <f t="shared" si="2"/>
        <v>43313</v>
      </c>
    </row>
    <row r="48" spans="2:14" s="13" customFormat="1" ht="12" x14ac:dyDescent="0.2">
      <c r="B48" s="14" t="s">
        <v>164</v>
      </c>
      <c r="C48" s="19" t="s">
        <v>16</v>
      </c>
      <c r="D48" s="18" t="s">
        <v>324</v>
      </c>
      <c r="E48" s="18" t="s">
        <v>320</v>
      </c>
      <c r="F48" s="18" t="s">
        <v>270</v>
      </c>
      <c r="G48" s="18" t="s">
        <v>114</v>
      </c>
      <c r="H48" s="20" t="s">
        <v>325</v>
      </c>
      <c r="I48" s="13">
        <f>LEFT(D48,LEN(D48)-4)+0</f>
        <v>22</v>
      </c>
      <c r="J48" s="13" t="str">
        <f>LEFT(RIGHT(D48,4),1)</f>
        <v>T</v>
      </c>
      <c r="K48" s="13">
        <f>IF(J48="T",I48,I48/1000)</f>
        <v>22</v>
      </c>
      <c r="L48" s="13">
        <f t="shared" si="0"/>
        <v>1700</v>
      </c>
      <c r="M48" s="11">
        <f t="shared" si="1"/>
        <v>46588.23529411765</v>
      </c>
      <c r="N48" s="26">
        <f t="shared" si="2"/>
        <v>43435</v>
      </c>
    </row>
    <row r="49" spans="2:14" s="13" customFormat="1" ht="12" x14ac:dyDescent="0.2">
      <c r="B49" s="14" t="s">
        <v>163</v>
      </c>
      <c r="C49" s="19" t="s">
        <v>14</v>
      </c>
      <c r="D49" s="18" t="s">
        <v>322</v>
      </c>
      <c r="E49" s="18" t="s">
        <v>323</v>
      </c>
      <c r="F49" s="18" t="s">
        <v>235</v>
      </c>
      <c r="G49" s="18" t="s">
        <v>114</v>
      </c>
      <c r="H49" s="20" t="s">
        <v>302</v>
      </c>
      <c r="I49" s="13">
        <f>LEFT(D49,LEN(D49)-4)+0</f>
        <v>20.5</v>
      </c>
      <c r="J49" s="13" t="str">
        <f>LEFT(RIGHT(D49,4),1)</f>
        <v>T</v>
      </c>
      <c r="K49" s="13">
        <f>IF(J49="T",I49,I49/1000)</f>
        <v>20.5</v>
      </c>
      <c r="L49" s="13">
        <f t="shared" si="0"/>
        <v>1530</v>
      </c>
      <c r="M49" s="11">
        <f t="shared" si="1"/>
        <v>48235.294117647056</v>
      </c>
      <c r="N49" s="26">
        <f t="shared" si="2"/>
        <v>43405</v>
      </c>
    </row>
    <row r="50" spans="2:14" s="13" customFormat="1" ht="12" x14ac:dyDescent="0.2">
      <c r="B50" s="14" t="s">
        <v>162</v>
      </c>
      <c r="C50" s="19" t="s">
        <v>24</v>
      </c>
      <c r="D50" s="18" t="s">
        <v>319</v>
      </c>
      <c r="E50" s="18" t="s">
        <v>320</v>
      </c>
      <c r="F50" s="21" t="s">
        <v>30</v>
      </c>
      <c r="G50" s="18" t="s">
        <v>114</v>
      </c>
      <c r="H50" s="20" t="s">
        <v>321</v>
      </c>
      <c r="I50" s="13">
        <f>LEFT(D50,LEN(D50)-4)+0</f>
        <v>20</v>
      </c>
      <c r="J50" s="13" t="str">
        <f>LEFT(RIGHT(D50,4),1)</f>
        <v>T</v>
      </c>
      <c r="K50" s="13">
        <f>IF(J50="T",I50,I50/1000)</f>
        <v>20</v>
      </c>
      <c r="L50" s="13">
        <f t="shared" si="0"/>
        <v>1700</v>
      </c>
      <c r="M50" s="11">
        <f t="shared" si="1"/>
        <v>42352.941176470587</v>
      </c>
      <c r="N50" s="26">
        <f t="shared" si="2"/>
        <v>43344</v>
      </c>
    </row>
    <row r="51" spans="2:14" s="13" customFormat="1" ht="12" x14ac:dyDescent="0.2">
      <c r="B51" s="14" t="s">
        <v>160</v>
      </c>
      <c r="C51" s="19" t="s">
        <v>133</v>
      </c>
      <c r="D51" s="18" t="s">
        <v>313</v>
      </c>
      <c r="E51" s="18" t="s">
        <v>314</v>
      </c>
      <c r="F51" s="18" t="s">
        <v>254</v>
      </c>
      <c r="G51" s="18" t="s">
        <v>114</v>
      </c>
      <c r="H51" s="20" t="s">
        <v>315</v>
      </c>
      <c r="I51" s="13">
        <f>LEFT(D51,LEN(D51)-4)+0</f>
        <v>18</v>
      </c>
      <c r="J51" s="13" t="str">
        <f>LEFT(RIGHT(D51,4),1)</f>
        <v>T</v>
      </c>
      <c r="K51" s="13">
        <f>IF(J51="T",I51,I51/1000)</f>
        <v>18</v>
      </c>
      <c r="L51" s="13">
        <f t="shared" si="0"/>
        <v>1650</v>
      </c>
      <c r="M51" s="11">
        <f t="shared" si="1"/>
        <v>39272.727272727272</v>
      </c>
      <c r="N51" s="26">
        <f t="shared" si="2"/>
        <v>43132</v>
      </c>
    </row>
    <row r="52" spans="2:14" s="13" customFormat="1" ht="12" x14ac:dyDescent="0.2">
      <c r="B52" s="14" t="s">
        <v>161</v>
      </c>
      <c r="C52" s="19" t="s">
        <v>21</v>
      </c>
      <c r="D52" s="18" t="s">
        <v>313</v>
      </c>
      <c r="E52" s="18" t="s">
        <v>316</v>
      </c>
      <c r="F52" s="18" t="s">
        <v>317</v>
      </c>
      <c r="G52" s="18" t="s">
        <v>114</v>
      </c>
      <c r="H52" s="20" t="s">
        <v>318</v>
      </c>
      <c r="I52" s="13">
        <f>LEFT(D52,LEN(D52)-4)+0</f>
        <v>18</v>
      </c>
      <c r="J52" s="13" t="str">
        <f>LEFT(RIGHT(D52,4),1)</f>
        <v>T</v>
      </c>
      <c r="K52" s="13">
        <f>IF(J52="T",I52,I52/1000)</f>
        <v>18</v>
      </c>
      <c r="L52" s="13">
        <f t="shared" si="0"/>
        <v>1728</v>
      </c>
      <c r="M52" s="11">
        <f t="shared" si="1"/>
        <v>37500</v>
      </c>
      <c r="N52" s="26">
        <f t="shared" si="2"/>
        <v>43313</v>
      </c>
    </row>
    <row r="53" spans="2:14" s="13" customFormat="1" ht="12" x14ac:dyDescent="0.2">
      <c r="B53" s="14" t="s">
        <v>159</v>
      </c>
      <c r="C53" s="19" t="s">
        <v>136</v>
      </c>
      <c r="D53" s="18" t="s">
        <v>310</v>
      </c>
      <c r="E53" s="18" t="s">
        <v>311</v>
      </c>
      <c r="F53" s="18" t="s">
        <v>246</v>
      </c>
      <c r="G53" s="18" t="s">
        <v>114</v>
      </c>
      <c r="H53" s="20" t="s">
        <v>312</v>
      </c>
      <c r="I53" s="13">
        <f>LEFT(D53,LEN(D53)-4)+0</f>
        <v>17.2</v>
      </c>
      <c r="J53" s="13" t="str">
        <f>LEFT(RIGHT(D53,4),1)</f>
        <v>T</v>
      </c>
      <c r="K53" s="13">
        <f>IF(J53="T",I53,I53/1000)</f>
        <v>17.2</v>
      </c>
      <c r="L53" s="13">
        <f t="shared" si="0"/>
        <v>1570</v>
      </c>
      <c r="M53" s="11">
        <f t="shared" si="1"/>
        <v>39439.490445859868</v>
      </c>
      <c r="N53" s="26">
        <f t="shared" si="2"/>
        <v>43221</v>
      </c>
    </row>
    <row r="54" spans="2:14" s="13" customFormat="1" ht="12" x14ac:dyDescent="0.2">
      <c r="B54" s="14" t="s">
        <v>154</v>
      </c>
      <c r="C54" s="19" t="s">
        <v>12</v>
      </c>
      <c r="D54" s="18" t="s">
        <v>301</v>
      </c>
      <c r="E54" s="18" t="s">
        <v>282</v>
      </c>
      <c r="F54" s="18" t="s">
        <v>235</v>
      </c>
      <c r="G54" s="18" t="s">
        <v>114</v>
      </c>
      <c r="H54" s="20" t="s">
        <v>302</v>
      </c>
      <c r="I54" s="13">
        <f>LEFT(D54,LEN(D54)-4)+0</f>
        <v>16</v>
      </c>
      <c r="J54" s="13" t="str">
        <f>LEFT(RIGHT(D54,4),1)</f>
        <v>T</v>
      </c>
      <c r="K54" s="13">
        <f>IF(J54="T",I54,I54/1000)</f>
        <v>16</v>
      </c>
      <c r="L54" s="13">
        <f t="shared" si="0"/>
        <v>1280</v>
      </c>
      <c r="M54" s="11">
        <f t="shared" si="1"/>
        <v>45000</v>
      </c>
      <c r="N54" s="26">
        <f t="shared" si="2"/>
        <v>43647</v>
      </c>
    </row>
    <row r="55" spans="2:14" s="13" customFormat="1" ht="12" x14ac:dyDescent="0.2">
      <c r="B55" s="14" t="s">
        <v>155</v>
      </c>
      <c r="C55" s="19" t="s">
        <v>29</v>
      </c>
      <c r="D55" s="18" t="s">
        <v>301</v>
      </c>
      <c r="E55" s="18" t="s">
        <v>303</v>
      </c>
      <c r="F55" s="18" t="s">
        <v>254</v>
      </c>
      <c r="G55" s="18" t="s">
        <v>114</v>
      </c>
      <c r="H55" s="20" t="s">
        <v>304</v>
      </c>
      <c r="I55" s="13">
        <f>LEFT(D55,LEN(D55)-4)+0</f>
        <v>16</v>
      </c>
      <c r="J55" s="13" t="str">
        <f>LEFT(RIGHT(D55,4),1)</f>
        <v>T</v>
      </c>
      <c r="K55" s="13">
        <f>IF(J55="T",I55,I55/1000)</f>
        <v>16</v>
      </c>
      <c r="L55" s="13">
        <f t="shared" si="0"/>
        <v>1380</v>
      </c>
      <c r="M55" s="11">
        <f t="shared" si="1"/>
        <v>41739.130434782615</v>
      </c>
      <c r="N55" s="26">
        <f t="shared" si="2"/>
        <v>43282</v>
      </c>
    </row>
    <row r="56" spans="2:14" s="13" customFormat="1" ht="12" x14ac:dyDescent="0.2">
      <c r="B56" s="14" t="s">
        <v>156</v>
      </c>
      <c r="C56" s="19" t="s">
        <v>29</v>
      </c>
      <c r="D56" s="18" t="s">
        <v>301</v>
      </c>
      <c r="E56" s="18" t="s">
        <v>305</v>
      </c>
      <c r="F56" s="18" t="s">
        <v>235</v>
      </c>
      <c r="G56" s="18" t="s">
        <v>114</v>
      </c>
      <c r="H56" s="20" t="s">
        <v>306</v>
      </c>
      <c r="I56" s="13">
        <f>LEFT(D56,LEN(D56)-4)+0</f>
        <v>16</v>
      </c>
      <c r="J56" s="13" t="str">
        <f>LEFT(RIGHT(D56,4),1)</f>
        <v>T</v>
      </c>
      <c r="K56" s="13">
        <f>IF(J56="T",I56,I56/1000)</f>
        <v>16</v>
      </c>
      <c r="L56" s="13">
        <f t="shared" si="0"/>
        <v>1400</v>
      </c>
      <c r="M56" s="11">
        <f t="shared" si="1"/>
        <v>41142.857142857145</v>
      </c>
      <c r="N56" s="26">
        <f t="shared" si="2"/>
        <v>43282</v>
      </c>
    </row>
    <row r="57" spans="2:14" s="13" customFormat="1" ht="12" x14ac:dyDescent="0.2">
      <c r="B57" s="14" t="s">
        <v>157</v>
      </c>
      <c r="C57" s="19" t="s">
        <v>18</v>
      </c>
      <c r="D57" s="18" t="s">
        <v>301</v>
      </c>
      <c r="E57" s="18" t="s">
        <v>307</v>
      </c>
      <c r="F57" s="18" t="s">
        <v>254</v>
      </c>
      <c r="G57" s="18" t="s">
        <v>114</v>
      </c>
      <c r="H57" s="20" t="s">
        <v>298</v>
      </c>
      <c r="I57" s="13">
        <f>LEFT(D57,LEN(D57)-4)+0</f>
        <v>16</v>
      </c>
      <c r="J57" s="13" t="str">
        <f>LEFT(RIGHT(D57,4),1)</f>
        <v>T</v>
      </c>
      <c r="K57" s="13">
        <f>IF(J57="T",I57,I57/1000)</f>
        <v>16</v>
      </c>
      <c r="L57" s="13">
        <f t="shared" si="0"/>
        <v>1480</v>
      </c>
      <c r="M57" s="11">
        <f t="shared" si="1"/>
        <v>38918.91891891892</v>
      </c>
      <c r="N57" s="26">
        <f t="shared" si="2"/>
        <v>43191</v>
      </c>
    </row>
    <row r="58" spans="2:14" s="13" customFormat="1" ht="12" x14ac:dyDescent="0.2">
      <c r="B58" s="14" t="s">
        <v>158</v>
      </c>
      <c r="C58" s="19" t="s">
        <v>136</v>
      </c>
      <c r="D58" s="18" t="s">
        <v>301</v>
      </c>
      <c r="E58" s="18" t="s">
        <v>308</v>
      </c>
      <c r="F58" s="18" t="s">
        <v>246</v>
      </c>
      <c r="G58" s="18" t="s">
        <v>114</v>
      </c>
      <c r="H58" s="20" t="s">
        <v>309</v>
      </c>
      <c r="I58" s="13">
        <f>LEFT(D58,LEN(D58)-4)+0</f>
        <v>16</v>
      </c>
      <c r="J58" s="13" t="str">
        <f>LEFT(RIGHT(D58,4),1)</f>
        <v>T</v>
      </c>
      <c r="K58" s="13">
        <f>IF(J58="T",I58,I58/1000)</f>
        <v>16</v>
      </c>
      <c r="L58" s="13">
        <f t="shared" si="0"/>
        <v>1760</v>
      </c>
      <c r="M58" s="11">
        <f t="shared" si="1"/>
        <v>32727.272727272728</v>
      </c>
      <c r="N58" s="26">
        <f t="shared" si="2"/>
        <v>43221</v>
      </c>
    </row>
    <row r="59" spans="2:14" s="13" customFormat="1" ht="12" x14ac:dyDescent="0.2">
      <c r="B59" s="14" t="s">
        <v>153</v>
      </c>
      <c r="C59" s="19" t="s">
        <v>21</v>
      </c>
      <c r="D59" s="18" t="s">
        <v>299</v>
      </c>
      <c r="E59" s="18" t="s">
        <v>300</v>
      </c>
      <c r="F59" s="18" t="s">
        <v>235</v>
      </c>
      <c r="G59" s="18" t="s">
        <v>114</v>
      </c>
      <c r="H59" s="20" t="s">
        <v>296</v>
      </c>
      <c r="I59" s="13">
        <f>LEFT(D59,LEN(D59)-4)+0</f>
        <v>14.5</v>
      </c>
      <c r="J59" s="13" t="str">
        <f>LEFT(RIGHT(D59,4),1)</f>
        <v>T</v>
      </c>
      <c r="K59" s="13">
        <f>IF(J59="T",I59,I59/1000)</f>
        <v>14.5</v>
      </c>
      <c r="L59" s="13">
        <f t="shared" si="0"/>
        <v>1350</v>
      </c>
      <c r="M59" s="11">
        <f t="shared" si="1"/>
        <v>38666.666666666664</v>
      </c>
      <c r="N59" s="26">
        <f t="shared" si="2"/>
        <v>43313</v>
      </c>
    </row>
    <row r="60" spans="2:14" s="13" customFormat="1" ht="12" x14ac:dyDescent="0.2">
      <c r="B60" s="14" t="s">
        <v>150</v>
      </c>
      <c r="C60" s="19" t="s">
        <v>136</v>
      </c>
      <c r="D60" s="18" t="s">
        <v>295</v>
      </c>
      <c r="E60" s="18" t="s">
        <v>269</v>
      </c>
      <c r="F60" s="18" t="s">
        <v>235</v>
      </c>
      <c r="G60" s="18" t="s">
        <v>114</v>
      </c>
      <c r="H60" s="20" t="s">
        <v>296</v>
      </c>
      <c r="I60" s="13">
        <f>LEFT(D60,LEN(D60)-4)+0</f>
        <v>14</v>
      </c>
      <c r="J60" s="13" t="str">
        <f>LEFT(RIGHT(D60,4),1)</f>
        <v>T</v>
      </c>
      <c r="K60" s="13">
        <f>IF(J60="T",I60,I60/1000)</f>
        <v>14</v>
      </c>
      <c r="L60" s="13">
        <f t="shared" si="0"/>
        <v>1320</v>
      </c>
      <c r="M60" s="11">
        <f t="shared" si="1"/>
        <v>38181.818181818177</v>
      </c>
      <c r="N60" s="26">
        <f t="shared" si="2"/>
        <v>43221</v>
      </c>
    </row>
    <row r="61" spans="2:14" s="13" customFormat="1" ht="12" x14ac:dyDescent="0.2">
      <c r="B61" s="14" t="s">
        <v>151</v>
      </c>
      <c r="C61" s="19" t="s">
        <v>152</v>
      </c>
      <c r="D61" s="18" t="s">
        <v>295</v>
      </c>
      <c r="E61" s="18" t="s">
        <v>297</v>
      </c>
      <c r="F61" s="18" t="s">
        <v>261</v>
      </c>
      <c r="G61" s="18" t="s">
        <v>114</v>
      </c>
      <c r="H61" s="20" t="s">
        <v>298</v>
      </c>
      <c r="I61" s="13">
        <f>LEFT(D61,LEN(D61)-4)+0</f>
        <v>14</v>
      </c>
      <c r="J61" s="13" t="str">
        <f>LEFT(RIGHT(D61,4),1)</f>
        <v>T</v>
      </c>
      <c r="K61" s="13">
        <f>IF(J61="T",I61,I61/1000)</f>
        <v>14</v>
      </c>
      <c r="L61" s="13">
        <f t="shared" si="0"/>
        <v>1372</v>
      </c>
      <c r="M61" s="11">
        <f t="shared" si="1"/>
        <v>36734.693877551021</v>
      </c>
      <c r="N61" s="26">
        <f t="shared" si="2"/>
        <v>43040</v>
      </c>
    </row>
    <row r="62" spans="2:14" s="13" customFormat="1" ht="12" x14ac:dyDescent="0.2">
      <c r="B62" s="14" t="s">
        <v>149</v>
      </c>
      <c r="C62" s="19" t="s">
        <v>18</v>
      </c>
      <c r="D62" s="18" t="s">
        <v>292</v>
      </c>
      <c r="E62" s="18" t="s">
        <v>293</v>
      </c>
      <c r="F62" s="18" t="s">
        <v>227</v>
      </c>
      <c r="G62" s="18" t="s">
        <v>114</v>
      </c>
      <c r="H62" s="20" t="s">
        <v>294</v>
      </c>
      <c r="I62" s="13">
        <f>LEFT(D62,LEN(D62)-4)+0</f>
        <v>13.6</v>
      </c>
      <c r="J62" s="13" t="str">
        <f>LEFT(RIGHT(D62,4),1)</f>
        <v>T</v>
      </c>
      <c r="K62" s="13">
        <f>IF(J62="T",I62,I62/1000)</f>
        <v>13.6</v>
      </c>
      <c r="L62" s="13">
        <f t="shared" si="0"/>
        <v>1290</v>
      </c>
      <c r="M62" s="11">
        <f t="shared" si="1"/>
        <v>37953.488372093023</v>
      </c>
      <c r="N62" s="26">
        <f t="shared" si="2"/>
        <v>43191</v>
      </c>
    </row>
    <row r="63" spans="2:14" s="13" customFormat="1" ht="12" x14ac:dyDescent="0.2">
      <c r="B63" s="14" t="s">
        <v>145</v>
      </c>
      <c r="C63" s="19" t="s">
        <v>146</v>
      </c>
      <c r="D63" s="18" t="s">
        <v>285</v>
      </c>
      <c r="E63" s="18" t="s">
        <v>286</v>
      </c>
      <c r="F63" s="18" t="s">
        <v>235</v>
      </c>
      <c r="G63" s="18" t="s">
        <v>114</v>
      </c>
      <c r="H63" s="20" t="s">
        <v>264</v>
      </c>
      <c r="I63" s="13">
        <f>LEFT(D63,LEN(D63)-4)+0</f>
        <v>13.5</v>
      </c>
      <c r="J63" s="13" t="str">
        <f>LEFT(RIGHT(D63,4),1)</f>
        <v>T</v>
      </c>
      <c r="K63" s="13">
        <f>IF(J63="T",I63,I63/1000)</f>
        <v>13.5</v>
      </c>
      <c r="L63" s="13">
        <f t="shared" si="0"/>
        <v>1310</v>
      </c>
      <c r="M63" s="11">
        <f t="shared" si="1"/>
        <v>37099.236641221374</v>
      </c>
      <c r="N63" s="26">
        <f t="shared" si="2"/>
        <v>43678</v>
      </c>
    </row>
    <row r="64" spans="2:14" s="13" customFormat="1" ht="12" x14ac:dyDescent="0.2">
      <c r="B64" s="14" t="s">
        <v>147</v>
      </c>
      <c r="C64" s="19" t="s">
        <v>126</v>
      </c>
      <c r="D64" s="18" t="s">
        <v>285</v>
      </c>
      <c r="E64" s="18" t="s">
        <v>287</v>
      </c>
      <c r="F64" s="18" t="s">
        <v>261</v>
      </c>
      <c r="G64" s="18" t="s">
        <v>114</v>
      </c>
      <c r="H64" s="20" t="s">
        <v>288</v>
      </c>
      <c r="I64" s="13">
        <f>LEFT(D64,LEN(D64)-4)+0</f>
        <v>13.5</v>
      </c>
      <c r="J64" s="13" t="str">
        <f>LEFT(RIGHT(D64,4),1)</f>
        <v>T</v>
      </c>
      <c r="K64" s="13">
        <f>IF(J64="T",I64,I64/1000)</f>
        <v>13.5</v>
      </c>
      <c r="L64" s="13">
        <f t="shared" si="0"/>
        <v>1323</v>
      </c>
      <c r="M64" s="11">
        <f t="shared" si="1"/>
        <v>36734.693877551021</v>
      </c>
      <c r="N64" s="26">
        <f t="shared" si="2"/>
        <v>42979</v>
      </c>
    </row>
    <row r="65" spans="2:14" s="13" customFormat="1" ht="12" x14ac:dyDescent="0.2">
      <c r="B65" s="14" t="s">
        <v>148</v>
      </c>
      <c r="C65" s="19" t="s">
        <v>29</v>
      </c>
      <c r="D65" s="18" t="s">
        <v>285</v>
      </c>
      <c r="E65" s="18" t="s">
        <v>289</v>
      </c>
      <c r="F65" s="18" t="s">
        <v>290</v>
      </c>
      <c r="G65" s="18" t="s">
        <v>114</v>
      </c>
      <c r="H65" s="20" t="s">
        <v>291</v>
      </c>
      <c r="I65" s="13">
        <f>LEFT(D65,LEN(D65)-4)+0</f>
        <v>13.5</v>
      </c>
      <c r="J65" s="13" t="str">
        <f>LEFT(RIGHT(D65,4),1)</f>
        <v>T</v>
      </c>
      <c r="K65" s="13">
        <f>IF(J65="T",I65,I65/1000)</f>
        <v>13.5</v>
      </c>
      <c r="L65" s="13">
        <f t="shared" si="0"/>
        <v>1420</v>
      </c>
      <c r="M65" s="11">
        <f t="shared" si="1"/>
        <v>34225.352112676061</v>
      </c>
      <c r="N65" s="26">
        <f t="shared" si="2"/>
        <v>43282</v>
      </c>
    </row>
    <row r="66" spans="2:14" s="13" customFormat="1" ht="12" x14ac:dyDescent="0.2">
      <c r="B66" s="14" t="s">
        <v>142</v>
      </c>
      <c r="C66" s="19" t="s">
        <v>136</v>
      </c>
      <c r="D66" s="18" t="s">
        <v>281</v>
      </c>
      <c r="E66" s="18" t="s">
        <v>282</v>
      </c>
      <c r="F66" s="18" t="s">
        <v>235</v>
      </c>
      <c r="G66" s="18" t="s">
        <v>114</v>
      </c>
      <c r="H66" s="20" t="s">
        <v>283</v>
      </c>
      <c r="I66" s="13">
        <f>LEFT(D66,LEN(D66)-4)+0</f>
        <v>13</v>
      </c>
      <c r="J66" s="13" t="str">
        <f>LEFT(RIGHT(D66,4),1)</f>
        <v>T</v>
      </c>
      <c r="K66" s="13">
        <f>IF(J66="T",I66,I66/1000)</f>
        <v>13</v>
      </c>
      <c r="L66" s="13">
        <f t="shared" si="0"/>
        <v>1280</v>
      </c>
      <c r="M66" s="11">
        <f t="shared" si="1"/>
        <v>36562.5</v>
      </c>
      <c r="N66" s="26">
        <f t="shared" si="2"/>
        <v>43221</v>
      </c>
    </row>
    <row r="67" spans="2:14" s="13" customFormat="1" ht="12" x14ac:dyDescent="0.2">
      <c r="B67" s="14" t="s">
        <v>143</v>
      </c>
      <c r="C67" s="19" t="s">
        <v>144</v>
      </c>
      <c r="D67" s="18" t="s">
        <v>281</v>
      </c>
      <c r="E67" s="18" t="s">
        <v>253</v>
      </c>
      <c r="F67" s="18" t="s">
        <v>261</v>
      </c>
      <c r="G67" s="18" t="s">
        <v>114</v>
      </c>
      <c r="H67" s="20" t="s">
        <v>284</v>
      </c>
      <c r="I67" s="13">
        <f>LEFT(D67,LEN(D67)-4)+0</f>
        <v>13</v>
      </c>
      <c r="J67" s="13" t="str">
        <f>LEFT(RIGHT(D67,4),1)</f>
        <v>T</v>
      </c>
      <c r="K67" s="13">
        <f>IF(J67="T",I67,I67/1000)</f>
        <v>13</v>
      </c>
      <c r="L67" s="13">
        <f t="shared" si="0"/>
        <v>1300</v>
      </c>
      <c r="M67" s="11">
        <f t="shared" si="1"/>
        <v>36000</v>
      </c>
      <c r="N67" s="26">
        <f t="shared" si="2"/>
        <v>42917</v>
      </c>
    </row>
    <row r="68" spans="2:14" s="13" customFormat="1" ht="12" x14ac:dyDescent="0.2">
      <c r="B68" s="14" t="s">
        <v>138</v>
      </c>
      <c r="C68" s="19" t="s">
        <v>128</v>
      </c>
      <c r="D68" s="18" t="s">
        <v>275</v>
      </c>
      <c r="E68" s="18" t="s">
        <v>276</v>
      </c>
      <c r="F68" s="18" t="s">
        <v>261</v>
      </c>
      <c r="G68" s="18" t="s">
        <v>114</v>
      </c>
      <c r="H68" s="20" t="s">
        <v>247</v>
      </c>
      <c r="I68" s="13">
        <f>LEFT(D68,LEN(D68)-4)+0</f>
        <v>12.5</v>
      </c>
      <c r="J68" s="13" t="str">
        <f>LEFT(RIGHT(D68,4),1)</f>
        <v>T</v>
      </c>
      <c r="K68" s="13">
        <f>IF(J68="T",I68,I68/1000)</f>
        <v>12.5</v>
      </c>
      <c r="L68" s="13">
        <f t="shared" ref="L68:L85" si="3">LEFT(E68,LEN(E68)-1)+0</f>
        <v>1225</v>
      </c>
      <c r="M68" s="11">
        <f t="shared" ref="M68:M85" si="4">K68*60^2/(L68*1/1000)</f>
        <v>36734.693877551021</v>
      </c>
      <c r="N68" s="26">
        <f t="shared" ref="N68:N85" si="5">DATE(RIGHT(C68,4)+0,MONTH(1&amp;LEFT(LEFT(C68,3),3)),1)</f>
        <v>42767</v>
      </c>
    </row>
    <row r="69" spans="2:14" s="13" customFormat="1" ht="12" x14ac:dyDescent="0.2">
      <c r="B69" s="14" t="s">
        <v>139</v>
      </c>
      <c r="C69" s="19" t="s">
        <v>140</v>
      </c>
      <c r="D69" s="18" t="s">
        <v>275</v>
      </c>
      <c r="E69" s="18" t="s">
        <v>277</v>
      </c>
      <c r="F69" s="18" t="s">
        <v>266</v>
      </c>
      <c r="G69" s="18" t="s">
        <v>114</v>
      </c>
      <c r="H69" s="20" t="s">
        <v>278</v>
      </c>
      <c r="I69" s="13">
        <f>LEFT(D69,LEN(D69)-4)+0</f>
        <v>12.5</v>
      </c>
      <c r="J69" s="13" t="str">
        <f>LEFT(RIGHT(D69,4),1)</f>
        <v>T</v>
      </c>
      <c r="K69" s="13">
        <f>IF(J69="T",I69,I69/1000)</f>
        <v>12.5</v>
      </c>
      <c r="L69" s="13">
        <f t="shared" si="3"/>
        <v>1576</v>
      </c>
      <c r="M69" s="11">
        <f t="shared" si="4"/>
        <v>28553.299492385784</v>
      </c>
      <c r="N69" s="26">
        <f t="shared" si="5"/>
        <v>42948</v>
      </c>
    </row>
    <row r="70" spans="2:14" s="13" customFormat="1" ht="12" x14ac:dyDescent="0.2">
      <c r="B70" s="14" t="s">
        <v>141</v>
      </c>
      <c r="C70" s="19" t="s">
        <v>120</v>
      </c>
      <c r="D70" s="18" t="s">
        <v>275</v>
      </c>
      <c r="E70" s="18" t="s">
        <v>279</v>
      </c>
      <c r="F70" s="18" t="s">
        <v>273</v>
      </c>
      <c r="G70" s="18" t="s">
        <v>114</v>
      </c>
      <c r="H70" s="20" t="s">
        <v>280</v>
      </c>
      <c r="I70" s="13">
        <f>LEFT(D70,LEN(D70)-4)+0</f>
        <v>12.5</v>
      </c>
      <c r="J70" s="13" t="str">
        <f>LEFT(RIGHT(D70,4),1)</f>
        <v>T</v>
      </c>
      <c r="K70" s="13">
        <f>IF(J70="T",I70,I70/1000)</f>
        <v>12.5</v>
      </c>
      <c r="L70" s="13">
        <f t="shared" si="3"/>
        <v>2050</v>
      </c>
      <c r="M70" s="11">
        <f t="shared" si="4"/>
        <v>21951.219512195123</v>
      </c>
      <c r="N70" s="26">
        <f t="shared" si="5"/>
        <v>43160</v>
      </c>
    </row>
    <row r="71" spans="2:14" s="13" customFormat="1" ht="12" x14ac:dyDescent="0.2">
      <c r="B71" s="14" t="s">
        <v>135</v>
      </c>
      <c r="C71" s="19" t="s">
        <v>136</v>
      </c>
      <c r="D71" s="18" t="s">
        <v>268</v>
      </c>
      <c r="E71" s="18" t="s">
        <v>269</v>
      </c>
      <c r="F71" s="18" t="s">
        <v>270</v>
      </c>
      <c r="G71" s="18" t="s">
        <v>114</v>
      </c>
      <c r="H71" s="20" t="s">
        <v>271</v>
      </c>
      <c r="I71" s="13">
        <f>LEFT(D71,LEN(D71)-4)+0</f>
        <v>12</v>
      </c>
      <c r="J71" s="13" t="str">
        <f>LEFT(RIGHT(D71,4),1)</f>
        <v>T</v>
      </c>
      <c r="K71" s="13">
        <f>IF(J71="T",I71,I71/1000)</f>
        <v>12</v>
      </c>
      <c r="L71" s="13">
        <f t="shared" si="3"/>
        <v>1320</v>
      </c>
      <c r="M71" s="11">
        <f t="shared" si="4"/>
        <v>32727.272727272724</v>
      </c>
      <c r="N71" s="26">
        <f t="shared" si="5"/>
        <v>43221</v>
      </c>
    </row>
    <row r="72" spans="2:14" s="13" customFormat="1" ht="12" x14ac:dyDescent="0.2">
      <c r="B72" s="14" t="s">
        <v>137</v>
      </c>
      <c r="C72" s="19" t="s">
        <v>35</v>
      </c>
      <c r="D72" s="18" t="s">
        <v>268</v>
      </c>
      <c r="E72" s="18" t="s">
        <v>272</v>
      </c>
      <c r="F72" s="18" t="s">
        <v>273</v>
      </c>
      <c r="G72" s="18" t="s">
        <v>114</v>
      </c>
      <c r="H72" s="20" t="s">
        <v>274</v>
      </c>
      <c r="I72" s="13">
        <f>LEFT(D72,LEN(D72)-4)+0</f>
        <v>12</v>
      </c>
      <c r="J72" s="13" t="str">
        <f>LEFT(RIGHT(D72,4),1)</f>
        <v>T</v>
      </c>
      <c r="K72" s="13">
        <f>IF(J72="T",I72,I72/1000)</f>
        <v>12</v>
      </c>
      <c r="L72" s="13">
        <f t="shared" si="3"/>
        <v>2000</v>
      </c>
      <c r="M72" s="11">
        <f t="shared" si="4"/>
        <v>21600</v>
      </c>
      <c r="N72" s="26">
        <f t="shared" si="5"/>
        <v>43101</v>
      </c>
    </row>
    <row r="73" spans="2:14" s="13" customFormat="1" ht="12" x14ac:dyDescent="0.2">
      <c r="B73" s="14" t="s">
        <v>131</v>
      </c>
      <c r="C73" s="19" t="s">
        <v>118</v>
      </c>
      <c r="D73" s="18" t="s">
        <v>259</v>
      </c>
      <c r="E73" s="18" t="s">
        <v>260</v>
      </c>
      <c r="F73" s="18" t="s">
        <v>261</v>
      </c>
      <c r="G73" s="18" t="s">
        <v>114</v>
      </c>
      <c r="H73" s="20" t="s">
        <v>262</v>
      </c>
      <c r="I73" s="13">
        <f>LEFT(D73,LEN(D73)-4)+0</f>
        <v>11.5</v>
      </c>
      <c r="J73" s="13" t="str">
        <f>LEFT(RIGHT(D73,4),1)</f>
        <v>T</v>
      </c>
      <c r="K73" s="13">
        <f>IF(J73="T",I73,I73/1000)</f>
        <v>11.5</v>
      </c>
      <c r="L73" s="13">
        <f t="shared" si="3"/>
        <v>1127</v>
      </c>
      <c r="M73" s="11">
        <f t="shared" si="4"/>
        <v>36734.693877551021</v>
      </c>
      <c r="N73" s="26">
        <f t="shared" si="5"/>
        <v>42522</v>
      </c>
    </row>
    <row r="74" spans="2:14" s="13" customFormat="1" ht="12" x14ac:dyDescent="0.2">
      <c r="B74" s="14" t="s">
        <v>132</v>
      </c>
      <c r="C74" s="19" t="s">
        <v>133</v>
      </c>
      <c r="D74" s="18" t="s">
        <v>259</v>
      </c>
      <c r="E74" s="18" t="s">
        <v>263</v>
      </c>
      <c r="F74" s="18" t="s">
        <v>227</v>
      </c>
      <c r="G74" s="18" t="s">
        <v>114</v>
      </c>
      <c r="H74" s="20" t="s">
        <v>264</v>
      </c>
      <c r="I74" s="13">
        <f>LEFT(D74,LEN(D74)-4)+0</f>
        <v>11.5</v>
      </c>
      <c r="J74" s="13" t="str">
        <f>LEFT(RIGHT(D74,4),1)</f>
        <v>T</v>
      </c>
      <c r="K74" s="13">
        <f>IF(J74="T",I74,I74/1000)</f>
        <v>11.5</v>
      </c>
      <c r="L74" s="13">
        <f t="shared" si="3"/>
        <v>1200</v>
      </c>
      <c r="M74" s="11">
        <f t="shared" si="4"/>
        <v>34500</v>
      </c>
      <c r="N74" s="26">
        <f t="shared" si="5"/>
        <v>43132</v>
      </c>
    </row>
    <row r="75" spans="2:14" s="13" customFormat="1" ht="12" x14ac:dyDescent="0.2">
      <c r="B75" s="14" t="s">
        <v>134</v>
      </c>
      <c r="C75" s="19" t="s">
        <v>124</v>
      </c>
      <c r="D75" s="18" t="s">
        <v>259</v>
      </c>
      <c r="E75" s="18" t="s">
        <v>265</v>
      </c>
      <c r="F75" s="18" t="s">
        <v>266</v>
      </c>
      <c r="G75" s="18" t="s">
        <v>114</v>
      </c>
      <c r="H75" s="20" t="s">
        <v>267</v>
      </c>
      <c r="I75" s="13">
        <f>LEFT(D75,LEN(D75)-4)+0</f>
        <v>11.5</v>
      </c>
      <c r="J75" s="13" t="str">
        <f>LEFT(RIGHT(D75,4),1)</f>
        <v>T</v>
      </c>
      <c r="K75" s="13">
        <f>IF(J75="T",I75,I75/1000)</f>
        <v>11.5</v>
      </c>
      <c r="L75" s="13">
        <f t="shared" si="3"/>
        <v>1450</v>
      </c>
      <c r="M75" s="11">
        <f t="shared" si="4"/>
        <v>28551.724137931036</v>
      </c>
      <c r="N75" s="26">
        <f t="shared" si="5"/>
        <v>42826</v>
      </c>
    </row>
    <row r="76" spans="2:14" s="13" customFormat="1" ht="12" x14ac:dyDescent="0.2">
      <c r="B76" s="14" t="s">
        <v>130</v>
      </c>
      <c r="C76" s="19" t="s">
        <v>35</v>
      </c>
      <c r="D76" s="18" t="s">
        <v>256</v>
      </c>
      <c r="E76" s="18" t="s">
        <v>257</v>
      </c>
      <c r="F76" s="18" t="s">
        <v>235</v>
      </c>
      <c r="G76" s="18" t="s">
        <v>114</v>
      </c>
      <c r="H76" s="20" t="s">
        <v>258</v>
      </c>
      <c r="I76" s="13">
        <f>LEFT(D76,LEN(D76)-4)+0</f>
        <v>10.5</v>
      </c>
      <c r="J76" s="13" t="str">
        <f>LEFT(RIGHT(D76,4),1)</f>
        <v>T</v>
      </c>
      <c r="K76" s="13">
        <f>IF(J76="T",I76,I76/1000)</f>
        <v>10.5</v>
      </c>
      <c r="L76" s="13">
        <f t="shared" si="3"/>
        <v>1432</v>
      </c>
      <c r="M76" s="11">
        <f t="shared" si="4"/>
        <v>26396.648044692738</v>
      </c>
      <c r="N76" s="26">
        <f t="shared" si="5"/>
        <v>43101</v>
      </c>
    </row>
    <row r="77" spans="2:14" s="13" customFormat="1" ht="12" x14ac:dyDescent="0.2">
      <c r="B77" s="14" t="s">
        <v>129</v>
      </c>
      <c r="C77" s="19" t="s">
        <v>35</v>
      </c>
      <c r="D77" s="18" t="s">
        <v>252</v>
      </c>
      <c r="E77" s="18" t="s">
        <v>253</v>
      </c>
      <c r="F77" s="18" t="s">
        <v>254</v>
      </c>
      <c r="G77" s="18" t="s">
        <v>114</v>
      </c>
      <c r="H77" s="20" t="s">
        <v>255</v>
      </c>
      <c r="I77" s="13">
        <f>LEFT(D77,LEN(D77)-4)+0</f>
        <v>9</v>
      </c>
      <c r="J77" s="13" t="str">
        <f>LEFT(RIGHT(D77,4),1)</f>
        <v>T</v>
      </c>
      <c r="K77" s="13">
        <f>IF(J77="T",I77,I77/1000)</f>
        <v>9</v>
      </c>
      <c r="L77" s="13">
        <f t="shared" si="3"/>
        <v>1300</v>
      </c>
      <c r="M77" s="11">
        <f t="shared" si="4"/>
        <v>24923.076923076922</v>
      </c>
      <c r="N77" s="26">
        <f t="shared" si="5"/>
        <v>43101</v>
      </c>
    </row>
    <row r="78" spans="2:14" s="13" customFormat="1" ht="12" x14ac:dyDescent="0.2">
      <c r="B78" s="14" t="s">
        <v>127</v>
      </c>
      <c r="C78" s="19" t="s">
        <v>128</v>
      </c>
      <c r="D78" s="18" t="s">
        <v>248</v>
      </c>
      <c r="E78" s="18" t="s">
        <v>249</v>
      </c>
      <c r="F78" s="18" t="s">
        <v>250</v>
      </c>
      <c r="G78" s="18" t="s">
        <v>114</v>
      </c>
      <c r="H78" s="20" t="s">
        <v>251</v>
      </c>
      <c r="I78" s="13">
        <f>LEFT(D78,LEN(D78)-4)+0</f>
        <v>8.6999999999999993</v>
      </c>
      <c r="J78" s="13" t="str">
        <f>LEFT(RIGHT(D78,4),1)</f>
        <v>T</v>
      </c>
      <c r="K78" s="13">
        <f>IF(J78="T",I78,I78/1000)</f>
        <v>8.6999999999999993</v>
      </c>
      <c r="L78" s="13">
        <f t="shared" si="3"/>
        <v>845</v>
      </c>
      <c r="M78" s="11">
        <f t="shared" si="4"/>
        <v>37065.08875739645</v>
      </c>
      <c r="N78" s="26">
        <f t="shared" si="5"/>
        <v>42767</v>
      </c>
    </row>
    <row r="79" spans="2:14" s="13" customFormat="1" ht="12" x14ac:dyDescent="0.2">
      <c r="B79" s="14" t="s">
        <v>125</v>
      </c>
      <c r="C79" s="19" t="s">
        <v>126</v>
      </c>
      <c r="D79" s="18" t="s">
        <v>244</v>
      </c>
      <c r="E79" s="18" t="s">
        <v>245</v>
      </c>
      <c r="F79" s="18" t="s">
        <v>246</v>
      </c>
      <c r="G79" s="18" t="s">
        <v>114</v>
      </c>
      <c r="H79" s="20" t="s">
        <v>247</v>
      </c>
      <c r="I79" s="13">
        <f>LEFT(D79,LEN(D79)-4)+0</f>
        <v>8.5</v>
      </c>
      <c r="J79" s="13" t="str">
        <f>LEFT(RIGHT(D79,4),1)</f>
        <v>T</v>
      </c>
      <c r="K79" s="13">
        <f>IF(J79="T",I79,I79/1000)</f>
        <v>8.5</v>
      </c>
      <c r="L79" s="13">
        <f t="shared" si="3"/>
        <v>1000</v>
      </c>
      <c r="M79" s="11">
        <f t="shared" si="4"/>
        <v>30600</v>
      </c>
      <c r="N79" s="26">
        <f t="shared" si="5"/>
        <v>42979</v>
      </c>
    </row>
    <row r="80" spans="2:14" s="13" customFormat="1" ht="12" x14ac:dyDescent="0.2">
      <c r="B80" s="14" t="s">
        <v>123</v>
      </c>
      <c r="C80" s="19" t="s">
        <v>124</v>
      </c>
      <c r="D80" s="18" t="s">
        <v>241</v>
      </c>
      <c r="E80" s="18" t="s">
        <v>242</v>
      </c>
      <c r="F80" s="18" t="s">
        <v>227</v>
      </c>
      <c r="G80" s="18" t="s">
        <v>114</v>
      </c>
      <c r="H80" s="20" t="s">
        <v>243</v>
      </c>
      <c r="I80" s="13">
        <f>LEFT(D80,LEN(D80)-4)+0</f>
        <v>7.3</v>
      </c>
      <c r="J80" s="13" t="str">
        <f>LEFT(RIGHT(D80,4),1)</f>
        <v>T</v>
      </c>
      <c r="K80" s="13">
        <f>IF(J80="T",I80,I80/1000)</f>
        <v>7.3</v>
      </c>
      <c r="L80" s="13">
        <f t="shared" si="3"/>
        <v>1150</v>
      </c>
      <c r="M80" s="11">
        <f t="shared" si="4"/>
        <v>22852.17391304348</v>
      </c>
      <c r="N80" s="26">
        <f t="shared" si="5"/>
        <v>42826</v>
      </c>
    </row>
    <row r="81" spans="2:14" s="13" customFormat="1" ht="12" x14ac:dyDescent="0.2">
      <c r="B81" s="14" t="s">
        <v>121</v>
      </c>
      <c r="C81" s="19" t="s">
        <v>122</v>
      </c>
      <c r="D81" s="18" t="s">
        <v>237</v>
      </c>
      <c r="E81" s="18" t="s">
        <v>238</v>
      </c>
      <c r="F81" s="18" t="s">
        <v>239</v>
      </c>
      <c r="G81" s="18" t="s">
        <v>114</v>
      </c>
      <c r="H81" s="20" t="s">
        <v>240</v>
      </c>
      <c r="I81" s="13">
        <f>LEFT(D81,LEN(D81)-4)+0</f>
        <v>4.7300000000000004</v>
      </c>
      <c r="J81" s="13" t="str">
        <f>LEFT(RIGHT(D81,4),1)</f>
        <v>T</v>
      </c>
      <c r="K81" s="13">
        <f>IF(J81="T",I81,I81/1000)</f>
        <v>4.7300000000000004</v>
      </c>
      <c r="L81" s="13">
        <f t="shared" si="3"/>
        <v>1293</v>
      </c>
      <c r="M81" s="11">
        <f t="shared" si="4"/>
        <v>13169.373549883991</v>
      </c>
      <c r="N81" s="26">
        <f t="shared" si="5"/>
        <v>42248</v>
      </c>
    </row>
    <row r="82" spans="2:14" s="13" customFormat="1" ht="12" x14ac:dyDescent="0.2">
      <c r="B82" s="14" t="s">
        <v>119</v>
      </c>
      <c r="C82" s="19" t="s">
        <v>120</v>
      </c>
      <c r="D82" s="18" t="s">
        <v>233</v>
      </c>
      <c r="E82" s="18" t="s">
        <v>234</v>
      </c>
      <c r="F82" s="18" t="s">
        <v>235</v>
      </c>
      <c r="G82" s="18" t="s">
        <v>114</v>
      </c>
      <c r="H82" s="20" t="s">
        <v>236</v>
      </c>
      <c r="I82" s="13">
        <f>LEFT(D82,LEN(D82)-4)+0</f>
        <v>4</v>
      </c>
      <c r="J82" s="13" t="str">
        <f>LEFT(RIGHT(D82,4),1)</f>
        <v>T</v>
      </c>
      <c r="K82" s="13">
        <f>IF(J82="T",I82,I82/1000)</f>
        <v>4</v>
      </c>
      <c r="L82" s="13">
        <f t="shared" si="3"/>
        <v>1027</v>
      </c>
      <c r="M82" s="11">
        <f t="shared" si="4"/>
        <v>14021.421616358326</v>
      </c>
      <c r="N82" s="26">
        <f t="shared" si="5"/>
        <v>43160</v>
      </c>
    </row>
    <row r="83" spans="2:14" s="13" customFormat="1" ht="12" x14ac:dyDescent="0.2">
      <c r="B83" s="14" t="s">
        <v>117</v>
      </c>
      <c r="C83" s="19" t="s">
        <v>118</v>
      </c>
      <c r="D83" s="18" t="s">
        <v>229</v>
      </c>
      <c r="E83" s="18" t="s">
        <v>230</v>
      </c>
      <c r="F83" s="18" t="s">
        <v>231</v>
      </c>
      <c r="G83" s="18" t="s">
        <v>114</v>
      </c>
      <c r="H83" s="20" t="s">
        <v>232</v>
      </c>
      <c r="I83" s="13">
        <f>LEFT(D83,LEN(D83)-4)+0</f>
        <v>2.7</v>
      </c>
      <c r="J83" s="13" t="str">
        <f>LEFT(RIGHT(D83,4),1)</f>
        <v>T</v>
      </c>
      <c r="K83" s="13">
        <f>IF(J83="T",I83,I83/1000)</f>
        <v>2.7</v>
      </c>
      <c r="L83" s="13">
        <f t="shared" si="3"/>
        <v>697</v>
      </c>
      <c r="M83" s="11">
        <f t="shared" si="4"/>
        <v>13945.480631276901</v>
      </c>
      <c r="N83" s="26">
        <f t="shared" si="5"/>
        <v>42522</v>
      </c>
    </row>
    <row r="84" spans="2:14" s="13" customFormat="1" ht="12" x14ac:dyDescent="0.2">
      <c r="B84" s="14" t="s">
        <v>115</v>
      </c>
      <c r="C84" s="19" t="s">
        <v>116</v>
      </c>
      <c r="D84" s="18" t="s">
        <v>225</v>
      </c>
      <c r="E84" s="18" t="s">
        <v>226</v>
      </c>
      <c r="F84" s="18" t="s">
        <v>227</v>
      </c>
      <c r="G84" s="18" t="s">
        <v>114</v>
      </c>
      <c r="H84" s="25" t="s">
        <v>228</v>
      </c>
      <c r="I84" s="13">
        <f>LEFT(D84,LEN(D84)-4)+0</f>
        <v>1.155</v>
      </c>
      <c r="J84" s="13" t="str">
        <f>LEFT(RIGHT(D84,4),1)</f>
        <v>T</v>
      </c>
      <c r="K84" s="13">
        <f>IF(J84="T",I84,I84/1000)</f>
        <v>1.155</v>
      </c>
      <c r="L84" s="13">
        <f t="shared" si="3"/>
        <v>590</v>
      </c>
      <c r="M84" s="11">
        <f t="shared" si="4"/>
        <v>7047.4576271186443</v>
      </c>
      <c r="N84" s="26">
        <f t="shared" si="5"/>
        <v>41974</v>
      </c>
    </row>
    <row r="85" spans="2:14" s="13" customFormat="1" ht="12" x14ac:dyDescent="0.2">
      <c r="B85" s="14" t="s">
        <v>112</v>
      </c>
      <c r="C85" s="15" t="s">
        <v>113</v>
      </c>
      <c r="D85" s="16" t="s">
        <v>221</v>
      </c>
      <c r="E85" s="16" t="s">
        <v>222</v>
      </c>
      <c r="F85" s="17" t="s">
        <v>223</v>
      </c>
      <c r="G85" s="17" t="s">
        <v>114</v>
      </c>
      <c r="H85" s="23" t="s">
        <v>224</v>
      </c>
      <c r="I85" s="13">
        <f>LEFT(D85,LEN(D85)-4)+0</f>
        <v>478</v>
      </c>
      <c r="J85" s="13" t="str">
        <f>LEFT(RIGHT(D85,4),1)</f>
        <v>G</v>
      </c>
      <c r="K85" s="13">
        <f>IF(J85="T",I85,I85/1000)</f>
        <v>0.47799999999999998</v>
      </c>
      <c r="L85" s="13">
        <f t="shared" si="3"/>
        <v>366</v>
      </c>
      <c r="M85" s="11">
        <f t="shared" si="4"/>
        <v>4701.6393442622948</v>
      </c>
      <c r="N85" s="26">
        <f t="shared" si="5"/>
        <v>41821</v>
      </c>
    </row>
  </sheetData>
  <autoFilter ref="B2:K85" xr:uid="{B6C8ECC1-5325-4FC6-B875-26AACA810FCC}">
    <sortState xmlns:xlrd2="http://schemas.microsoft.com/office/spreadsheetml/2017/richdata2" ref="B3:K85">
      <sortCondition descending="1" ref="K2:K85"/>
    </sortState>
  </autoFilter>
  <hyperlinks>
    <hyperlink ref="B85" r:id="rId1" display="https://www.asicminervalue.com/miners/bitmain/antminer-s3" xr:uid="{E28CD0A7-5343-45C3-B0C8-3601BC81825B}"/>
    <hyperlink ref="B84" r:id="rId2" display="https://www.asicminervalue.com/miners/bitmain/antminer-s5" xr:uid="{FE62D4B7-A6C0-489E-9D99-108CF9F67D90}"/>
    <hyperlink ref="B83" r:id="rId3" display="https://www.asicminervalue.com/miners/bitmain/antminer-s7-ln" xr:uid="{21C37695-FBA2-424F-BB8B-A82D99D569B2}"/>
    <hyperlink ref="B82" r:id="rId4" display="https://www.asicminervalue.com/miners/bitmain/antminer-v9-4th" xr:uid="{164D6526-3D58-4080-B3C6-D5A21BB16BEE}"/>
    <hyperlink ref="B81" r:id="rId5" display="https://www.asicminervalue.com/miners/bitmain/antminer-s7" xr:uid="{50BBA611-85D8-4DD2-BF41-6847D3E0C0D3}"/>
    <hyperlink ref="B80" r:id="rId6" display="https://www.asicminervalue.com/miners/canaan/avalonminer-741" xr:uid="{C3437669-DB43-4483-80B1-04D7C8CBD528}"/>
    <hyperlink ref="B79" r:id="rId7" display="https://www.asicminervalue.com/miners/pantech/sx6" xr:uid="{A94669F8-D5F4-4738-AE4A-DDDB585B499B}"/>
    <hyperlink ref="B78" r:id="rId8" display="https://www.asicminervalue.com/miners/bitmain/antminer-r4" xr:uid="{804EB0CD-0B58-436A-9D4B-270AF3DAE8C2}"/>
    <hyperlink ref="B77" r:id="rId9" display="https://www.asicminervalue.com/miners/ebang/ebit-e9" xr:uid="{02C71B15-AEB0-4AB7-A536-82304503C738}"/>
    <hyperlink ref="B76" r:id="rId10" display="https://www.asicminervalue.com/miners/bitmain/antminer-t9-10-5th" xr:uid="{99231414-5BC1-4739-80E1-8A40B09C27EF}"/>
    <hyperlink ref="B73" r:id="rId11" display="https://www.asicminervalue.com/miners/bitmain/antminer-s9-11-5th" xr:uid="{ECE26FBB-A75A-4E30-9427-905620091D46}"/>
    <hyperlink ref="B74" r:id="rId12" display="https://www.asicminervalue.com/miners/canaan/avalonminer-821" xr:uid="{0BDE2AAC-9885-415F-8F91-552DBFA247D4}"/>
    <hyperlink ref="B75" r:id="rId13" display="https://www.asicminervalue.com/miners/bitmain/antminer-t9-11-5th" xr:uid="{F02D1663-22C0-4ED8-8786-ADF7104B621B}"/>
    <hyperlink ref="B71" r:id="rId14" display="https://www.asicminervalue.com/miners/ebang/ebit-e9-2" xr:uid="{97C2D510-5424-4A73-B63D-D39C51B399A8}"/>
    <hyperlink ref="B72" r:id="rId15" display="https://www.asicminervalue.com/miners/microbt/whatsminer-m3" xr:uid="{8411C7F5-40E9-4D37-8AE5-2CD4E4F50F5C}"/>
    <hyperlink ref="B68" r:id="rId16" display="https://www.asicminervalue.com/miners/bitmain/antminer-s9-12-5th" xr:uid="{7DE350CD-26C4-45EF-9C8A-DD0BD066ED42}"/>
    <hyperlink ref="B69" r:id="rId17" display="https://www.asicminervalue.com/miners/bitmain/antminer-t9-12-5th" xr:uid="{6D10CBAB-6772-4B2F-BF84-77A33A9FE7F7}"/>
    <hyperlink ref="B70" r:id="rId18" display="https://www.asicminervalue.com/miners/microbt/whatsminer-m3x" xr:uid="{E95B7C72-374F-41D4-97C2-9B71EABEDFEC}"/>
    <hyperlink ref="B66" r:id="rId19" display="https://www.asicminervalue.com/miners/bitmain/antminer-s9i-13th" xr:uid="{1F46FD3E-3261-4C36-B06A-4139471DB324}"/>
    <hyperlink ref="B67" r:id="rId20" display="https://www.asicminervalue.com/miners/bitmain/antminer-s9-13th" xr:uid="{69561F8F-7636-4E98-AB1B-1C75062D6438}"/>
    <hyperlink ref="B63" r:id="rId21" display="https://www.asicminervalue.com/miners/bitmain/antminer-s9k-13-5th" xr:uid="{09FFC4F4-EA76-4BB1-87F3-5EF9A32FB268}"/>
    <hyperlink ref="B64" r:id="rId22" display="https://www.asicminervalue.com/miners/bitmain/antminer-s9-13-5th" xr:uid="{B20AD60D-CB18-4D06-B56D-34FDB16C9054}"/>
    <hyperlink ref="B65" r:id="rId23" display="https://www.asicminervalue.com/miners/ebang/ebit-e9i" xr:uid="{E11C74E4-B8F8-45CD-9E72-3BB612A8DD19}"/>
    <hyperlink ref="B62" r:id="rId24" display="https://www.asicminervalue.com/miners/canaan/avalonminer-841" xr:uid="{3165D758-1FA8-4D42-AAFE-9F5424E84058}"/>
    <hyperlink ref="B60" r:id="rId25" display="https://www.asicminervalue.com/miners/bitmain/antminer-s9i-14th" xr:uid="{45C8B628-82CA-4625-8371-47293D8DE45C}"/>
    <hyperlink ref="B61" r:id="rId26" display="https://www.asicminervalue.com/miners/bitmain/antminer-s9-14th" xr:uid="{FDC7853F-634E-40BA-9573-6E489E12AC1A}"/>
    <hyperlink ref="B59" r:id="rId27" display="https://www.asicminervalue.com/miners/bitmain/antminer-s9j-14-5th" xr:uid="{20B9FF0B-CDAB-4826-8BD8-F2890BB9D0B0}"/>
    <hyperlink ref="B54" r:id="rId28" display="https://www.asicminervalue.com/miners/bitmain/antminer-s9-se-16th" xr:uid="{32BDC0E2-0CE3-4BBE-901B-5841823E6102}"/>
    <hyperlink ref="B55" r:id="rId29" display="https://www.asicminervalue.com/miners/bitfily/snow-panther-b1" xr:uid="{B30F0BBF-9F18-4817-8AC5-4F41E3D14A42}"/>
    <hyperlink ref="B57" r:id="rId30" display="https://www.asicminervalue.com/miners/halong-mining/dragonmint-t1" xr:uid="{0EAE1F52-D909-4ED9-A86B-FDA62E14182B}"/>
    <hyperlink ref="B58" r:id="rId31" display="https://www.asicminervalue.com/miners/ebang/ebit-e9-3" xr:uid="{76BDB162-55D0-48E4-8BBB-69606C437FF4}"/>
    <hyperlink ref="B53" r:id="rId32" display="https://www.asicminervalue.com/miners/innosilicon/t2-terminator" xr:uid="{38A74926-5875-43E1-8196-BFF7A46D8CC5}"/>
    <hyperlink ref="B51" r:id="rId33" display="https://www.asicminervalue.com/miners/ebang/ebit-e10" xr:uid="{2C7254BD-B638-4E79-AD48-1AAF4BD72411}"/>
    <hyperlink ref="B52" r:id="rId34" display="https://www.asicminervalue.com/miners/bitmain/antminer-s9-hydro-18th" xr:uid="{2C18C4B0-5B69-499A-9DA3-03DA5E5775E3}"/>
    <hyperlink ref="B50" r:id="rId35" display="https://www.asicminervalue.com/miners/canaan/avalonminer-921" xr:uid="{D4287908-2C62-453E-9D38-8781BA1F7B8F}"/>
    <hyperlink ref="B49" r:id="rId36" display="https://www.asicminervalue.com/miners/bitmain/antminer-s11-20-5th" xr:uid="{5D6F7E9A-080A-4EDF-91B2-777708C27CAC}"/>
    <hyperlink ref="B48" r:id="rId37" display="https://www.asicminervalue.com/miners/holic/h22" xr:uid="{0DDB001C-9344-4142-BA10-1A35970B565D}"/>
    <hyperlink ref="B46" r:id="rId38" display="https://www.asicminervalue.com/miners/gmo-miner/b2" xr:uid="{5E66D692-A27B-40B8-8777-0CD3D41478F9}"/>
    <hyperlink ref="B47" r:id="rId39" display="https://www.asicminervalue.com/miners/innosilicon/t2-turbo" xr:uid="{06013DF1-42D6-4E70-A324-897C26356103}"/>
    <hyperlink ref="B45" r:id="rId40" display="https://www.asicminervalue.com/miners/bitfily/snow-panther-b1-1" xr:uid="{DDB57E73-45B8-476F-8DC4-FDDE628D6631}"/>
    <hyperlink ref="B44" r:id="rId41" display="https://www.asicminervalue.com/miners/holic/h28" xr:uid="{B78092BF-FFD4-4454-9C7C-1E3A3DB9EF42}"/>
    <hyperlink ref="B43" r:id="rId42" display="https://www.asicminervalue.com/miners/ebang/ebit-e11" xr:uid="{D23DA126-0982-4D75-AFEF-34A08159B731}"/>
    <hyperlink ref="B42" r:id="rId43" display="https://www.asicminervalue.com/miners/microbt/whatsminer-m21" xr:uid="{8A0F4AA1-CAA5-45D7-AEBD-1D354C174A08}"/>
    <hyperlink ref="B41" r:id="rId44" display="https://www.asicminervalue.com/miners/innosilicon/t2-turbo-32t" xr:uid="{11DF5543-AA81-4655-B153-7DCDF606837B}"/>
    <hyperlink ref="B39" r:id="rId45" display="https://www.asicminervalue.com/miners/microbt/whatsminer-m10" xr:uid="{807B2AD0-2622-4943-9876-C610C64ED390}"/>
    <hyperlink ref="B40" r:id="rId46" display="https://www.asicminervalue.com/miners/gmo-miner/b3" xr:uid="{5F7A708D-E599-4A70-BE9C-8573BD9AC9A6}"/>
    <hyperlink ref="B38" r:id="rId47" display="https://www.asicminervalue.com/miners/pantech/wx6" xr:uid="{B5F2C35C-0356-46C2-B899-016F6E5D3D10}"/>
    <hyperlink ref="B36" r:id="rId48" display="https://www.asicminervalue.com/miners/ebang/ebit-e11-1" xr:uid="{6907144A-96DB-49E6-A330-FC9A234B18E0}"/>
    <hyperlink ref="B37" r:id="rId49" display="https://www.asicminervalue.com/miners/canaan/avalonminer-1047" xr:uid="{D8D82B8D-4F6E-48F7-8250-9BB6E365E9FE}"/>
    <hyperlink ref="B35" r:id="rId50" display="https://www.asicminervalue.com/miners/innosilicon/t3-39t" xr:uid="{FCA09A2D-534E-4499-BCCF-B09EDA9C4036}"/>
    <hyperlink ref="B34" r:id="rId51" display="https://www.asicminervalue.com/miners/bitmain/antminer-t17-40th" xr:uid="{9EA38CB5-1944-4435-AB04-CD8E035BA8EB}"/>
    <hyperlink ref="B33" r:id="rId52" display="https://www.asicminervalue.com/miners/innosilicon/t3-43t" xr:uid="{A42ED4A5-ACBC-4EC6-A981-1DC1E888CBD2}"/>
    <hyperlink ref="B30" r:id="rId53" display="https://www.asicminervalue.com/miners/ebang/ebit-e11-2" xr:uid="{7B1DBF80-4D9B-42B2-A9E2-2EF959FF0465}"/>
    <hyperlink ref="B31" r:id="rId54" display="https://www.asicminervalue.com/miners/asicminer/8-nano-44th" xr:uid="{CBDEEBDA-1E45-4DA3-AA70-E69012BEF522}"/>
    <hyperlink ref="B32" r:id="rId55" display="https://www.asicminervalue.com/miners/ebang/ebit-e12" xr:uid="{6F1F243C-A9DB-421A-B871-E05C49689F4E}"/>
    <hyperlink ref="B29" r:id="rId56" display="https://www.asicminervalue.com/miners/strongu/stu-u8" xr:uid="{2C75ED75-A603-4C45-A11B-773E3CBDF4C3}"/>
    <hyperlink ref="B27" r:id="rId57" display="https://www.asicminervalue.com/miners/bitfily/snow-panther-a1" xr:uid="{C7B5A31A-876A-46B6-898D-5BABD72E6364}"/>
    <hyperlink ref="B28" r:id="rId58" display="https://www.asicminervalue.com/miners/bitfury/b8" xr:uid="{F2F391E9-84A5-4060-B9B3-CFD5FA22F229}"/>
    <hyperlink ref="B23" r:id="rId59" display="https://www.asicminervalue.com/miners/bitmain/antminer-s17-pro-50th" xr:uid="{0672533A-9EE8-438B-A13A-753653B1657E}"/>
    <hyperlink ref="B24" r:id="rId60" display="https://www.asicminervalue.com/miners/ebang/ebit-e12-1" xr:uid="{BF3BDB03-4E92-4F70-9D85-0273C2907B11}"/>
    <hyperlink ref="B25" r:id="rId61" display="https://www.asicminervalue.com/miners/innosilicon/t3-50t" xr:uid="{B11101EB-CFAD-4F78-88CD-79C361EF029E}"/>
    <hyperlink ref="B26" r:id="rId62" display="https://www.asicminervalue.com/miners/canaan/avalonminer-1066" xr:uid="{3B76F391-9CDA-468E-AF60-F7BD47D6E3B8}"/>
    <hyperlink ref="B22" r:id="rId63" display="https://www.asicminervalue.com/miners/innosilicon/t3-52t" xr:uid="{0451701E-39B9-46EC-A705-E1B3491B3B6A}"/>
    <hyperlink ref="B19" r:id="rId64" display="https://www.asicminervalue.com/miners/bitmain/antminer-s17-pro-53th" xr:uid="{6C1F0720-3152-4B56-BBF4-4214AEB8F5A9}"/>
    <hyperlink ref="B20" r:id="rId65" display="https://www.asicminervalue.com/miners/bitmain/antminer-s17-53th" xr:uid="{9BEFCA7C-3FD7-46D2-BFB3-F8350A95FAB4}"/>
    <hyperlink ref="B21" r:id="rId66" display="https://www.asicminervalue.com/miners/bitmain/antminer-t17e-53th" xr:uid="{4F915E98-DA7C-4B42-8D7E-1EE74B10112D}"/>
    <hyperlink ref="B18" r:id="rId67" display="https://www.asicminervalue.com/miners/microbt/whatsminer-m10s" xr:uid="{A5D3E526-CD66-4CC2-A892-D96C0C055F31}"/>
    <hyperlink ref="B16" r:id="rId68" display="https://www.asicminervalue.com/miners/bitmain/antminer-s17-56th" xr:uid="{C918C4AF-5534-464C-9812-72F1608F9CD2}"/>
    <hyperlink ref="B17" r:id="rId69" display="https://www.asicminervalue.com/miners/microbt/whatsminer-m21s" xr:uid="{0789E728-D549-4CB8-A96E-AB784D1514A3}"/>
    <hyperlink ref="B15" r:id="rId70" display="https://www.asicminervalue.com/miners/innosilicon/t3-57t" xr:uid="{B217E8E5-A18C-44F9-9A2E-A7230F4DE489}"/>
    <hyperlink ref="B14" r:id="rId71" display="https://www.asicminervalue.com/miners/asicminer/8-nano-s-58th" xr:uid="{B8A71BF1-5EC8-4F5B-9194-D2D5E476C3F5}"/>
    <hyperlink ref="B13" r:id="rId72" display="https://www.asicminervalue.com/miners/strongu/stu-u8-pro" xr:uid="{D443DC58-409A-4084-A299-CB77D0A83B7E}"/>
    <hyperlink ref="B11" r:id="rId73" display="https://www.asicminervalue.com/miners/bitmain/antminer-s17e-64th" xr:uid="{67CFDF79-02EC-46E5-AB37-428FD5829AFF}"/>
    <hyperlink ref="B12" r:id="rId74" display="https://www.asicminervalue.com/miners/bitmain/antminer-t17-64th" xr:uid="{2459DDE7-0261-44BE-AD64-B7A4DB62CE09}"/>
    <hyperlink ref="B10" r:id="rId75" display="https://www.asicminervalue.com/miners/microbt/whatsminer-m20s" xr:uid="{1495ED65-C930-42FE-9AF9-98EA3A91B847}"/>
    <hyperlink ref="B9" r:id="rId76" display="https://www.asicminervalue.com/miners/microbt/whatsminer-m31s" xr:uid="{3434E364-FEAD-4426-8E22-C4AFDCC5F59D}"/>
    <hyperlink ref="B8" r:id="rId77" display="https://www.asicminervalue.com/miners/bitmain/antminer-s17-73th" xr:uid="{D9CE170D-C7FB-4A66-BB04-D7CC585DC07D}"/>
    <hyperlink ref="B7" r:id="rId78" display="https://www.asicminervalue.com/miners/asicminer/8-nano-pro" xr:uid="{E80E7546-E08C-4022-96E3-483E80CE5D0A}"/>
    <hyperlink ref="B6" r:id="rId79" display="https://www.asicminervalue.com/miners/bitfury/tardis" xr:uid="{82D19EB6-0264-4496-83BF-1855EDA90CE3}"/>
    <hyperlink ref="B5" r:id="rId80" display="https://www.asicminervalue.com/miners/microbt/whatsminer-m30s" xr:uid="{3E337B5B-4E7D-4CA7-AA51-5BC23F6D842F}"/>
    <hyperlink ref="B4" r:id="rId81" display="https://www.asicminervalue.com/miners/bitmain/antminer-s19-95th" xr:uid="{2ED4C21C-BB4A-4B57-AD1D-2D3A9FFBDA1D}"/>
    <hyperlink ref="B3" r:id="rId82" display="https://www.asicminervalue.com/miners/bitmain/antminer-s19-pro-110th" xr:uid="{51315440-822D-41CC-BA44-D989C8D354A3}"/>
    <hyperlink ref="B56" r:id="rId83" display="https://www.asicminervalue.com/miners/aladdin-miner/16th-s-bitcoin" xr:uid="{948CFF0D-7C66-4165-B377-ACA43712FE00}"/>
  </hyperlinks>
  <pageMargins left="0.7" right="0.7" top="0.75" bottom="0.75" header="0.3" footer="0.3"/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dcr_gpu</vt:lpstr>
      <vt:lpstr>dcr_asics</vt:lpstr>
      <vt:lpstr>dcr_asic_csv</vt:lpstr>
      <vt:lpstr>btc_asics</vt:lpstr>
      <vt:lpstr>dcr_gpu!result307</vt:lpstr>
      <vt:lpstr>dcr_gpu!result308</vt:lpstr>
      <vt:lpstr>dcr_gpu!result309</vt:lpstr>
      <vt:lpstr>dcr_gpu!result312</vt:lpstr>
      <vt:lpstr>dcr_gpu!result317</vt:lpstr>
      <vt:lpstr>dcr_gpu!result319</vt:lpstr>
      <vt:lpstr>dcr_gpu!result3435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Care</dc:creator>
  <cp:lastModifiedBy>James Care</cp:lastModifiedBy>
  <dcterms:created xsi:type="dcterms:W3CDTF">2020-05-01T10:48:13Z</dcterms:created>
  <dcterms:modified xsi:type="dcterms:W3CDTF">2020-05-02T01:46:58Z</dcterms:modified>
</cp:coreProperties>
</file>